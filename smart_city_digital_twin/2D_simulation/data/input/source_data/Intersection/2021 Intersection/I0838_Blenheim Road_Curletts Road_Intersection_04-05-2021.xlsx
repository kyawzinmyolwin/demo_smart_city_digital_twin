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90DCB4CE-8515-4E63-AC2D-99FE4ACB6642}"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137" i="6"/>
  <c r="Q73" i="6"/>
  <c r="Q48" i="6"/>
  <c r="Q302" i="6"/>
  <c r="Q263" i="6"/>
  <c r="Q238" i="6"/>
  <c r="Q199"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6" i="4"/>
  <c r="I86" i="4"/>
  <c r="I26" i="4"/>
  <c r="I106" i="4"/>
  <c r="I46" i="4"/>
  <c r="I126" i="4"/>
  <c r="I286" i="4"/>
  <c r="I186" i="4"/>
  <c r="I406" i="4"/>
  <c r="I486" i="4"/>
  <c r="I206" i="4"/>
  <c r="I646" i="4"/>
  <c r="I726" i="4"/>
  <c r="I806" i="4"/>
  <c r="I926" i="4"/>
  <c r="I326" i="4"/>
  <c r="I346" i="4"/>
  <c r="I426" i="4"/>
  <c r="I246" i="4"/>
  <c r="I506" i="4"/>
  <c r="I586" i="4"/>
  <c r="I666" i="4"/>
  <c r="I746" i="4"/>
  <c r="I826" i="4"/>
  <c r="I526" i="4"/>
  <c r="I266" i="4"/>
  <c r="I166" i="4"/>
  <c r="I366" i="4"/>
  <c r="I446" i="4"/>
  <c r="I546" i="4"/>
  <c r="I606" i="4"/>
  <c r="I686" i="4"/>
  <c r="I766" i="4"/>
  <c r="I846" i="4"/>
  <c r="I566" i="4"/>
  <c r="I946" i="4"/>
  <c r="I886" i="4"/>
  <c r="I146" i="4"/>
  <c r="I226" i="4"/>
  <c r="I386" i="4"/>
  <c r="I466" i="4"/>
  <c r="I306" i="4"/>
  <c r="I626" i="4"/>
  <c r="I706" i="4"/>
  <c r="I786" i="4"/>
  <c r="I866" i="4"/>
  <c r="I906" i="4"/>
  <c r="I18" i="4"/>
  <c r="I98" i="4"/>
  <c r="I38" i="4"/>
  <c r="I118" i="4"/>
  <c r="I318" i="4"/>
  <c r="I58" i="4"/>
  <c r="I138" i="4"/>
  <c r="I178" i="4"/>
  <c r="I78" i="4"/>
  <c r="I158" i="4"/>
  <c r="I218" i="4"/>
  <c r="I298" i="4"/>
  <c r="I278" i="4"/>
  <c r="I358" i="4"/>
  <c r="I438" i="4"/>
  <c r="I238" i="4"/>
  <c r="I498" i="4"/>
  <c r="I598" i="4"/>
  <c r="I678" i="4"/>
  <c r="I758" i="4"/>
  <c r="I838" i="4"/>
  <c r="I518" i="4"/>
  <c r="I918" i="4"/>
  <c r="I258" i="4"/>
  <c r="I378" i="4"/>
  <c r="I458" i="4"/>
  <c r="I338" i="4"/>
  <c r="I538" i="4"/>
  <c r="I618" i="4"/>
  <c r="I698" i="4"/>
  <c r="I778" i="4"/>
  <c r="I858" i="4"/>
  <c r="I558" i="4"/>
  <c r="I938" i="4"/>
  <c r="I398" i="4"/>
  <c r="I478" i="4"/>
  <c r="I638" i="4"/>
  <c r="I718" i="4"/>
  <c r="I798" i="4"/>
  <c r="I878" i="4"/>
  <c r="I418" i="4"/>
  <c r="I198" i="4"/>
  <c r="I578" i="4"/>
  <c r="I658" i="4"/>
  <c r="I738" i="4"/>
  <c r="I818" i="4"/>
  <c r="I958" i="4"/>
  <c r="I898" i="4"/>
  <c r="I23" i="4"/>
  <c r="I103" i="4"/>
  <c r="I43" i="4"/>
  <c r="I123" i="4"/>
  <c r="I183" i="4"/>
  <c r="I63" i="4"/>
  <c r="I143" i="4"/>
  <c r="I223" i="4"/>
  <c r="I323" i="4"/>
  <c r="I3" i="4"/>
  <c r="I83" i="4"/>
  <c r="I163" i="4"/>
  <c r="I263" i="4"/>
  <c r="I383" i="4"/>
  <c r="I463" i="4"/>
  <c r="I543" i="4"/>
  <c r="I603" i="4"/>
  <c r="I683" i="4"/>
  <c r="I763" i="4"/>
  <c r="I843" i="4"/>
  <c r="I303" i="4"/>
  <c r="I283" i="4"/>
  <c r="I403" i="4"/>
  <c r="I483" i="4"/>
  <c r="I563" i="4"/>
  <c r="I623" i="4"/>
  <c r="I703" i="4"/>
  <c r="I783" i="4"/>
  <c r="I923" i="4"/>
  <c r="I823" i="4"/>
  <c r="I883" i="4"/>
  <c r="I203" i="4"/>
  <c r="I343" i="4"/>
  <c r="I423" i="4"/>
  <c r="I503" i="4"/>
  <c r="I643" i="4"/>
  <c r="I723" i="4"/>
  <c r="I803" i="4"/>
  <c r="I863" i="4"/>
  <c r="I943" i="4"/>
  <c r="I243" i="4"/>
  <c r="I363" i="4"/>
  <c r="I443" i="4"/>
  <c r="I523" i="4"/>
  <c r="I583" i="4"/>
  <c r="I663" i="4"/>
  <c r="I743" i="4"/>
  <c r="I903" i="4"/>
  <c r="I65" i="4"/>
  <c r="I145" i="4"/>
  <c r="I225" i="4"/>
  <c r="I305" i="4"/>
  <c r="I5" i="4"/>
  <c r="I85" i="4"/>
  <c r="I165" i="4"/>
  <c r="I245" i="4"/>
  <c r="I325" i="4"/>
  <c r="I25" i="4"/>
  <c r="I105" i="4"/>
  <c r="I185" i="4"/>
  <c r="I265" i="4"/>
  <c r="I385" i="4"/>
  <c r="I45" i="4"/>
  <c r="I125" i="4"/>
  <c r="I205" i="4"/>
  <c r="I285" i="4"/>
  <c r="I405" i="4"/>
  <c r="I365" i="4"/>
  <c r="I425" i="4"/>
  <c r="I505" i="4"/>
  <c r="I585" i="4"/>
  <c r="I665" i="4"/>
  <c r="I745" i="4"/>
  <c r="I825" i="4"/>
  <c r="I925" i="4"/>
  <c r="I345" i="4"/>
  <c r="I445" i="4"/>
  <c r="I525" i="4"/>
  <c r="I605" i="4"/>
  <c r="I685" i="4"/>
  <c r="I765" i="4"/>
  <c r="I845" i="4"/>
  <c r="I945" i="4"/>
  <c r="I465" i="4"/>
  <c r="I545" i="4"/>
  <c r="I625" i="4"/>
  <c r="I705" i="4"/>
  <c r="I785" i="4"/>
  <c r="I865" i="4"/>
  <c r="I885" i="4"/>
  <c r="I485" i="4"/>
  <c r="I565" i="4"/>
  <c r="I645" i="4"/>
  <c r="I725" i="4"/>
  <c r="I805" i="4"/>
  <c r="I905" i="4"/>
  <c r="I33" i="4"/>
  <c r="I113" i="4"/>
  <c r="I193" i="4"/>
  <c r="I273" i="4"/>
  <c r="I53" i="4"/>
  <c r="I133" i="4"/>
  <c r="I213" i="4"/>
  <c r="I293" i="4"/>
  <c r="I73" i="4"/>
  <c r="I153" i="4"/>
  <c r="I233" i="4"/>
  <c r="I313" i="4"/>
  <c r="I353" i="4"/>
  <c r="I13" i="4"/>
  <c r="I93" i="4"/>
  <c r="I173" i="4"/>
  <c r="I253" i="4"/>
  <c r="I333" i="4"/>
  <c r="I373" i="4"/>
  <c r="I473" i="4"/>
  <c r="I553" i="4"/>
  <c r="I633" i="4"/>
  <c r="I713" i="4"/>
  <c r="I793" i="4"/>
  <c r="I873" i="4"/>
  <c r="I893" i="4"/>
  <c r="I493" i="4"/>
  <c r="I573" i="4"/>
  <c r="I653" i="4"/>
  <c r="I733" i="4"/>
  <c r="I813" i="4"/>
  <c r="I913" i="4"/>
  <c r="I413" i="4"/>
  <c r="I433" i="4"/>
  <c r="I513" i="4"/>
  <c r="I593" i="4"/>
  <c r="I673" i="4"/>
  <c r="I753" i="4"/>
  <c r="I833" i="4"/>
  <c r="I933" i="4"/>
  <c r="I393" i="4"/>
  <c r="I453" i="4"/>
  <c r="I533" i="4"/>
  <c r="I613" i="4"/>
  <c r="I693" i="4"/>
  <c r="I773" i="4"/>
  <c r="I853" i="4"/>
  <c r="I953" i="4"/>
  <c r="I50" i="4"/>
  <c r="I130" i="4"/>
  <c r="I270" i="4"/>
  <c r="I70" i="4"/>
  <c r="I10" i="4"/>
  <c r="I90" i="4"/>
  <c r="I210" i="4"/>
  <c r="I30" i="4"/>
  <c r="I110" i="4"/>
  <c r="I250" i="4"/>
  <c r="I330" i="4"/>
  <c r="I390" i="4"/>
  <c r="I470" i="4"/>
  <c r="I170" i="4"/>
  <c r="I290" i="4"/>
  <c r="I530" i="4"/>
  <c r="I630" i="4"/>
  <c r="I710" i="4"/>
  <c r="I790" i="4"/>
  <c r="I870" i="4"/>
  <c r="I550" i="4"/>
  <c r="I910" i="4"/>
  <c r="I150" i="4"/>
  <c r="I410" i="4"/>
  <c r="I490" i="4"/>
  <c r="I570" i="4"/>
  <c r="I650" i="4"/>
  <c r="I730" i="4"/>
  <c r="I810" i="4"/>
  <c r="I310" i="4"/>
  <c r="I350" i="4"/>
  <c r="I430" i="4"/>
  <c r="I190" i="4"/>
  <c r="I590" i="4"/>
  <c r="I670" i="4"/>
  <c r="I750" i="4"/>
  <c r="I830" i="4"/>
  <c r="I890" i="4"/>
  <c r="I950" i="4"/>
  <c r="I930" i="4"/>
  <c r="I370" i="4"/>
  <c r="I450" i="4"/>
  <c r="I230" i="4"/>
  <c r="I610" i="4"/>
  <c r="I690" i="4"/>
  <c r="I770" i="4"/>
  <c r="I850" i="4"/>
  <c r="I510" i="4"/>
  <c r="I7" i="4"/>
  <c r="I87" i="4"/>
  <c r="I167" i="4"/>
  <c r="I207" i="4"/>
  <c r="I27" i="4"/>
  <c r="I107" i="4"/>
  <c r="I247" i="4"/>
  <c r="I47" i="4"/>
  <c r="I127" i="4"/>
  <c r="I67" i="4"/>
  <c r="I147" i="4"/>
  <c r="I307" i="4"/>
  <c r="I287" i="4"/>
  <c r="I187" i="4"/>
  <c r="I367" i="4"/>
  <c r="I447" i="4"/>
  <c r="I527" i="4"/>
  <c r="I587" i="4"/>
  <c r="I667" i="4"/>
  <c r="I747" i="4"/>
  <c r="I947" i="4"/>
  <c r="I847" i="4"/>
  <c r="I227" i="4"/>
  <c r="I387" i="4"/>
  <c r="I467" i="4"/>
  <c r="I547" i="4"/>
  <c r="I607" i="4"/>
  <c r="I687" i="4"/>
  <c r="I767" i="4"/>
  <c r="I907" i="4"/>
  <c r="I927" i="4"/>
  <c r="I267" i="4"/>
  <c r="I407" i="4"/>
  <c r="I487" i="4"/>
  <c r="I567" i="4"/>
  <c r="I627" i="4"/>
  <c r="I707" i="4"/>
  <c r="I787" i="4"/>
  <c r="I827" i="4"/>
  <c r="I887" i="4"/>
  <c r="I327" i="4"/>
  <c r="I347" i="4"/>
  <c r="I427" i="4"/>
  <c r="I507" i="4"/>
  <c r="I647" i="4"/>
  <c r="I727" i="4"/>
  <c r="I807" i="4"/>
  <c r="I867" i="4"/>
  <c r="I40" i="4"/>
  <c r="I120" i="4"/>
  <c r="I200" i="4"/>
  <c r="I60" i="4"/>
  <c r="I140" i="4"/>
  <c r="I220" i="4"/>
  <c r="I80" i="4"/>
  <c r="I160" i="4"/>
  <c r="I240" i="4"/>
  <c r="I280" i="4"/>
  <c r="I360" i="4"/>
  <c r="I440" i="4"/>
  <c r="I20" i="4"/>
  <c r="I100" i="4"/>
  <c r="I180" i="4"/>
  <c r="I260" i="4"/>
  <c r="I380" i="4"/>
  <c r="I460" i="4"/>
  <c r="I340" i="4"/>
  <c r="I320" i="4"/>
  <c r="I540" i="4"/>
  <c r="I640" i="4"/>
  <c r="I720" i="4"/>
  <c r="I800" i="4"/>
  <c r="I820" i="4"/>
  <c r="I880" i="4"/>
  <c r="I960" i="4"/>
  <c r="I480" i="4"/>
  <c r="I580" i="4"/>
  <c r="I660" i="4"/>
  <c r="I740" i="4"/>
  <c r="I860" i="4"/>
  <c r="I900" i="4"/>
  <c r="I420" i="4"/>
  <c r="I300" i="4"/>
  <c r="I520" i="4"/>
  <c r="I600" i="4"/>
  <c r="I680" i="4"/>
  <c r="I760" i="4"/>
  <c r="I920" i="4"/>
  <c r="I840" i="4"/>
  <c r="I400" i="4"/>
  <c r="I560" i="4"/>
  <c r="I500" i="4"/>
  <c r="I620" i="4"/>
  <c r="I700" i="4"/>
  <c r="I780" i="4"/>
  <c r="I940" i="4"/>
  <c r="I2" i="4"/>
  <c r="I82" i="4"/>
  <c r="I22" i="4"/>
  <c r="I102" i="4"/>
  <c r="I42" i="4"/>
  <c r="I122" i="4"/>
  <c r="I142" i="4"/>
  <c r="I302" i="4"/>
  <c r="I242" i="4"/>
  <c r="I62" i="4"/>
  <c r="I162" i="4"/>
  <c r="I342" i="4"/>
  <c r="I422" i="4"/>
  <c r="I562" i="4"/>
  <c r="I582" i="4"/>
  <c r="I662" i="4"/>
  <c r="I742" i="4"/>
  <c r="I822" i="4"/>
  <c r="I882" i="4"/>
  <c r="I362" i="4"/>
  <c r="I442" i="4"/>
  <c r="I182" i="4"/>
  <c r="I602" i="4"/>
  <c r="I682" i="4"/>
  <c r="I762" i="4"/>
  <c r="I842" i="4"/>
  <c r="I922" i="4"/>
  <c r="I202" i="4"/>
  <c r="I382" i="4"/>
  <c r="I462" i="4"/>
  <c r="I222" i="4"/>
  <c r="I322" i="4"/>
  <c r="I622" i="4"/>
  <c r="I702" i="4"/>
  <c r="I782" i="4"/>
  <c r="I862" i="4"/>
  <c r="I502" i="4"/>
  <c r="I902" i="4"/>
  <c r="I282" i="4"/>
  <c r="I402" i="4"/>
  <c r="I482" i="4"/>
  <c r="I262" i="4"/>
  <c r="I522" i="4"/>
  <c r="I642" i="4"/>
  <c r="I722" i="4"/>
  <c r="I802" i="4"/>
  <c r="I542" i="4"/>
  <c r="I942" i="4"/>
  <c r="I34" i="4"/>
  <c r="I114" i="4"/>
  <c r="I174" i="4"/>
  <c r="I54" i="4"/>
  <c r="I134" i="4"/>
  <c r="I74" i="4"/>
  <c r="I314" i="4"/>
  <c r="I14" i="4"/>
  <c r="I94" i="4"/>
  <c r="I334" i="4"/>
  <c r="I234" i="4"/>
  <c r="I374" i="4"/>
  <c r="I454" i="4"/>
  <c r="I614" i="4"/>
  <c r="I694" i="4"/>
  <c r="I774" i="4"/>
  <c r="I854" i="4"/>
  <c r="I954" i="4"/>
  <c r="I194" i="4"/>
  <c r="I394" i="4"/>
  <c r="I474" i="4"/>
  <c r="I214" i="4"/>
  <c r="I274" i="4"/>
  <c r="I634" i="4"/>
  <c r="I714" i="4"/>
  <c r="I794" i="4"/>
  <c r="I874" i="4"/>
  <c r="I934" i="4"/>
  <c r="I894" i="4"/>
  <c r="I414" i="4"/>
  <c r="I494" i="4"/>
  <c r="I254" i="4"/>
  <c r="I514" i="4"/>
  <c r="I574" i="4"/>
  <c r="I654" i="4"/>
  <c r="I734" i="4"/>
  <c r="I814" i="4"/>
  <c r="I534" i="4"/>
  <c r="I294" i="4"/>
  <c r="I354" i="4"/>
  <c r="I434" i="4"/>
  <c r="I154" i="4"/>
  <c r="I554" i="4"/>
  <c r="I594" i="4"/>
  <c r="I674" i="4"/>
  <c r="I754" i="4"/>
  <c r="I834" i="4"/>
  <c r="I914" i="4"/>
  <c r="I71" i="4"/>
  <c r="I151" i="4"/>
  <c r="I291" i="4"/>
  <c r="I11" i="4"/>
  <c r="I91" i="4"/>
  <c r="I171" i="4"/>
  <c r="I31" i="4"/>
  <c r="I111" i="4"/>
  <c r="I191" i="4"/>
  <c r="I271" i="4"/>
  <c r="I51" i="4"/>
  <c r="I131" i="4"/>
  <c r="I231" i="4"/>
  <c r="I251" i="4"/>
  <c r="I311" i="4"/>
  <c r="I351" i="4"/>
  <c r="I431" i="4"/>
  <c r="I511" i="4"/>
  <c r="I571" i="4"/>
  <c r="I651" i="4"/>
  <c r="I731" i="4"/>
  <c r="I811" i="4"/>
  <c r="I891" i="4"/>
  <c r="I911" i="4"/>
  <c r="I371" i="4"/>
  <c r="I451" i="4"/>
  <c r="I531" i="4"/>
  <c r="I591" i="4"/>
  <c r="I671" i="4"/>
  <c r="I751" i="4"/>
  <c r="I851" i="4"/>
  <c r="I331" i="4"/>
  <c r="I391" i="4"/>
  <c r="I471" i="4"/>
  <c r="I551" i="4"/>
  <c r="I611" i="4"/>
  <c r="I691" i="4"/>
  <c r="I771" i="4"/>
  <c r="I831" i="4"/>
  <c r="I211" i="4"/>
  <c r="I411" i="4"/>
  <c r="I491" i="4"/>
  <c r="I631" i="4"/>
  <c r="I711" i="4"/>
  <c r="I791" i="4"/>
  <c r="I931" i="4"/>
  <c r="I871" i="4"/>
  <c r="I951" i="4"/>
  <c r="I8" i="4"/>
  <c r="I88" i="4"/>
  <c r="I168" i="4"/>
  <c r="I248" i="4"/>
  <c r="I28" i="4"/>
  <c r="I108" i="4"/>
  <c r="I188" i="4"/>
  <c r="I48" i="4"/>
  <c r="I128" i="4"/>
  <c r="I208" i="4"/>
  <c r="I408" i="4"/>
  <c r="I488" i="4"/>
  <c r="I68" i="4"/>
  <c r="I148" i="4"/>
  <c r="I228" i="4"/>
  <c r="I328" i="4"/>
  <c r="I348" i="4"/>
  <c r="I428" i="4"/>
  <c r="I468" i="4"/>
  <c r="I268" i="4"/>
  <c r="I568" i="4"/>
  <c r="I508" i="4"/>
  <c r="I608" i="4"/>
  <c r="I688" i="4"/>
  <c r="I768" i="4"/>
  <c r="I928" i="4"/>
  <c r="I448" i="4"/>
  <c r="I548" i="4"/>
  <c r="I628" i="4"/>
  <c r="I708" i="4"/>
  <c r="I788" i="4"/>
  <c r="I828" i="4"/>
  <c r="I948" i="4"/>
  <c r="I388" i="4"/>
  <c r="I308" i="4"/>
  <c r="I288" i="4"/>
  <c r="I648" i="4"/>
  <c r="I728" i="4"/>
  <c r="I808" i="4"/>
  <c r="I868" i="4"/>
  <c r="I888" i="4"/>
  <c r="I368" i="4"/>
  <c r="I528" i="4"/>
  <c r="I588" i="4"/>
  <c r="I668" i="4"/>
  <c r="I748" i="4"/>
  <c r="I908" i="4"/>
  <c r="I848" i="4"/>
  <c r="I24" i="4"/>
  <c r="I104" i="4"/>
  <c r="I184" i="4"/>
  <c r="I264" i="4"/>
  <c r="I44" i="4"/>
  <c r="I124" i="4"/>
  <c r="I204" i="4"/>
  <c r="I64" i="4"/>
  <c r="I144" i="4"/>
  <c r="I224" i="4"/>
  <c r="I344" i="4"/>
  <c r="I424" i="4"/>
  <c r="I4" i="4"/>
  <c r="I84" i="4"/>
  <c r="I164" i="4"/>
  <c r="I244" i="4"/>
  <c r="I364" i="4"/>
  <c r="I444" i="4"/>
  <c r="I404" i="4"/>
  <c r="I504" i="4"/>
  <c r="I624" i="4"/>
  <c r="I704" i="4"/>
  <c r="I784" i="4"/>
  <c r="I944" i="4"/>
  <c r="I384" i="4"/>
  <c r="I304" i="4"/>
  <c r="I544" i="4"/>
  <c r="I644" i="4"/>
  <c r="I724" i="4"/>
  <c r="I804" i="4"/>
  <c r="I884" i="4"/>
  <c r="I484" i="4"/>
  <c r="I524" i="4"/>
  <c r="I584" i="4"/>
  <c r="I664" i="4"/>
  <c r="I744" i="4"/>
  <c r="I904" i="4"/>
  <c r="I824" i="4"/>
  <c r="I464" i="4"/>
  <c r="I324" i="4"/>
  <c r="I284" i="4"/>
  <c r="I564" i="4"/>
  <c r="I604" i="4"/>
  <c r="I684" i="4"/>
  <c r="I764" i="4"/>
  <c r="I844" i="4"/>
  <c r="I924" i="4"/>
  <c r="I864" i="4"/>
  <c r="I72" i="4"/>
  <c r="I152" i="4"/>
  <c r="I232" i="4"/>
  <c r="I312" i="4"/>
  <c r="I12" i="4"/>
  <c r="I92" i="4"/>
  <c r="I172" i="4"/>
  <c r="I252" i="4"/>
  <c r="I32" i="4"/>
  <c r="I112" i="4"/>
  <c r="I192" i="4"/>
  <c r="I392" i="4"/>
  <c r="I472" i="4"/>
  <c r="I292" i="4"/>
  <c r="I52" i="4"/>
  <c r="I132" i="4"/>
  <c r="I212" i="4"/>
  <c r="I412" i="4"/>
  <c r="I492" i="4"/>
  <c r="I372" i="4"/>
  <c r="I332" i="4"/>
  <c r="I592" i="4"/>
  <c r="I672" i="4"/>
  <c r="I752" i="4"/>
  <c r="I852" i="4"/>
  <c r="I912" i="4"/>
  <c r="I352" i="4"/>
  <c r="I512" i="4"/>
  <c r="I612" i="4"/>
  <c r="I692" i="4"/>
  <c r="I772" i="4"/>
  <c r="I872" i="4"/>
  <c r="I932" i="4"/>
  <c r="I832" i="4"/>
  <c r="I452" i="4"/>
  <c r="I552" i="4"/>
  <c r="I632" i="4"/>
  <c r="I712" i="4"/>
  <c r="I792" i="4"/>
  <c r="I952" i="4"/>
  <c r="I432" i="4"/>
  <c r="I272" i="4"/>
  <c r="I532" i="4"/>
  <c r="I572" i="4"/>
  <c r="I652" i="4"/>
  <c r="I732" i="4"/>
  <c r="I812" i="4"/>
  <c r="I892" i="4"/>
  <c r="I55" i="4"/>
  <c r="I135" i="4"/>
  <c r="I75" i="4"/>
  <c r="I155" i="4"/>
  <c r="I215" i="4"/>
  <c r="I275" i="4"/>
  <c r="I15" i="4"/>
  <c r="I95" i="4"/>
  <c r="I175" i="4"/>
  <c r="I255" i="4"/>
  <c r="I335" i="4"/>
  <c r="I35" i="4"/>
  <c r="I115" i="4"/>
  <c r="I415" i="4"/>
  <c r="I495" i="4"/>
  <c r="I635" i="4"/>
  <c r="I715" i="4"/>
  <c r="I795" i="4"/>
  <c r="I915" i="4"/>
  <c r="I195" i="4"/>
  <c r="I295" i="4"/>
  <c r="I355" i="4"/>
  <c r="I435" i="4"/>
  <c r="I515" i="4"/>
  <c r="I575" i="4"/>
  <c r="I655" i="4"/>
  <c r="I735" i="4"/>
  <c r="I815" i="4"/>
  <c r="I855" i="4"/>
  <c r="I235" i="4"/>
  <c r="I375" i="4"/>
  <c r="I455" i="4"/>
  <c r="I535" i="4"/>
  <c r="I595" i="4"/>
  <c r="I675" i="4"/>
  <c r="I755" i="4"/>
  <c r="I895" i="4"/>
  <c r="I315" i="4"/>
  <c r="I395" i="4"/>
  <c r="I475" i="4"/>
  <c r="I555" i="4"/>
  <c r="I615" i="4"/>
  <c r="I695" i="4"/>
  <c r="I775" i="4"/>
  <c r="I835" i="4"/>
  <c r="I955" i="4"/>
  <c r="I875" i="4"/>
  <c r="I935" i="4"/>
  <c r="I49" i="4"/>
  <c r="I129" i="4"/>
  <c r="I209" i="4"/>
  <c r="I289" i="4"/>
  <c r="I69" i="4"/>
  <c r="I149" i="4"/>
  <c r="I229" i="4"/>
  <c r="I309" i="4"/>
  <c r="I9" i="4"/>
  <c r="I89" i="4"/>
  <c r="I169" i="4"/>
  <c r="I249" i="4"/>
  <c r="I329" i="4"/>
  <c r="I369" i="4"/>
  <c r="I29" i="4"/>
  <c r="I109" i="4"/>
  <c r="I189" i="4"/>
  <c r="I269" i="4"/>
  <c r="I389" i="4"/>
  <c r="I489" i="4"/>
  <c r="I569" i="4"/>
  <c r="I649" i="4"/>
  <c r="I729" i="4"/>
  <c r="I809" i="4"/>
  <c r="I909" i="4"/>
  <c r="I409" i="4"/>
  <c r="I429" i="4"/>
  <c r="I509" i="4"/>
  <c r="I589" i="4"/>
  <c r="I669" i="4"/>
  <c r="I749" i="4"/>
  <c r="I829" i="4"/>
  <c r="I929" i="4"/>
  <c r="I349" i="4"/>
  <c r="I449" i="4"/>
  <c r="I529" i="4"/>
  <c r="I609" i="4"/>
  <c r="I689" i="4"/>
  <c r="I769" i="4"/>
  <c r="I849" i="4"/>
  <c r="I949" i="4"/>
  <c r="I469" i="4"/>
  <c r="I549" i="4"/>
  <c r="I629" i="4"/>
  <c r="I709" i="4"/>
  <c r="I789" i="4"/>
  <c r="I869" i="4"/>
  <c r="I889" i="4"/>
  <c r="I81" i="4"/>
  <c r="I161" i="4"/>
  <c r="I241" i="4"/>
  <c r="I321" i="4"/>
  <c r="I21" i="4"/>
  <c r="I101" i="4"/>
  <c r="I181" i="4"/>
  <c r="I261" i="4"/>
  <c r="I341" i="4"/>
  <c r="I41" i="4"/>
  <c r="I121" i="4"/>
  <c r="I201" i="4"/>
  <c r="I281" i="4"/>
  <c r="I401" i="4"/>
  <c r="I61" i="4"/>
  <c r="I141" i="4"/>
  <c r="I221" i="4"/>
  <c r="I301" i="4"/>
  <c r="I421" i="4"/>
  <c r="I441" i="4"/>
  <c r="I521" i="4"/>
  <c r="I601" i="4"/>
  <c r="I681" i="4"/>
  <c r="I761" i="4"/>
  <c r="I841" i="4"/>
  <c r="I941" i="4"/>
  <c r="I461" i="4"/>
  <c r="I541" i="4"/>
  <c r="I621" i="4"/>
  <c r="I701" i="4"/>
  <c r="I781" i="4"/>
  <c r="I861" i="4"/>
  <c r="I881" i="4"/>
  <c r="I961" i="4"/>
  <c r="I381" i="4"/>
  <c r="I481" i="4"/>
  <c r="I561" i="4"/>
  <c r="I641" i="4"/>
  <c r="I721" i="4"/>
  <c r="I801" i="4"/>
  <c r="I901" i="4"/>
  <c r="I361" i="4"/>
  <c r="I501" i="4"/>
  <c r="I581" i="4"/>
  <c r="I661" i="4"/>
  <c r="I741" i="4"/>
  <c r="I821" i="4"/>
  <c r="I921" i="4"/>
  <c r="I17" i="4"/>
  <c r="I97" i="4"/>
  <c r="I177" i="4"/>
  <c r="I257" i="4"/>
  <c r="I337" i="4"/>
  <c r="I37" i="4"/>
  <c r="I117" i="4"/>
  <c r="I197" i="4"/>
  <c r="I277" i="4"/>
  <c r="I57" i="4"/>
  <c r="I137" i="4"/>
  <c r="I217" i="4"/>
  <c r="I297" i="4"/>
  <c r="I77" i="4"/>
  <c r="I157" i="4"/>
  <c r="I237" i="4"/>
  <c r="I317" i="4"/>
  <c r="I357" i="4"/>
  <c r="I397" i="4"/>
  <c r="I457" i="4"/>
  <c r="I537" i="4"/>
  <c r="I617" i="4"/>
  <c r="I697" i="4"/>
  <c r="I777" i="4"/>
  <c r="I857" i="4"/>
  <c r="I957" i="4"/>
  <c r="I377" i="4"/>
  <c r="I477" i="4"/>
  <c r="I557" i="4"/>
  <c r="I637" i="4"/>
  <c r="I717" i="4"/>
  <c r="I797" i="4"/>
  <c r="I897" i="4"/>
  <c r="I877" i="4"/>
  <c r="I497" i="4"/>
  <c r="I577" i="4"/>
  <c r="I657" i="4"/>
  <c r="I737" i="4"/>
  <c r="I817" i="4"/>
  <c r="I917" i="4"/>
  <c r="I417" i="4"/>
  <c r="I437" i="4"/>
  <c r="I517" i="4"/>
  <c r="I597" i="4"/>
  <c r="I677" i="4"/>
  <c r="I757" i="4"/>
  <c r="I837" i="4"/>
  <c r="I937" i="4"/>
  <c r="I56" i="4"/>
  <c r="I136" i="4"/>
  <c r="I216" i="4"/>
  <c r="I76" i="4"/>
  <c r="I156" i="4"/>
  <c r="I236" i="4"/>
  <c r="I296" i="4"/>
  <c r="I16" i="4"/>
  <c r="I96" i="4"/>
  <c r="I176" i="4"/>
  <c r="I256" i="4"/>
  <c r="I376" i="4"/>
  <c r="I456" i="4"/>
  <c r="I36" i="4"/>
  <c r="I116" i="4"/>
  <c r="I196" i="4"/>
  <c r="I396" i="4"/>
  <c r="I476" i="4"/>
  <c r="I276" i="4"/>
  <c r="I436" i="4"/>
  <c r="I536" i="4"/>
  <c r="I576" i="4"/>
  <c r="I656" i="4"/>
  <c r="I736" i="4"/>
  <c r="I816" i="4"/>
  <c r="I896" i="4"/>
  <c r="I876" i="4"/>
  <c r="I856" i="4"/>
  <c r="I416" i="4"/>
  <c r="I316" i="4"/>
  <c r="I516" i="4"/>
  <c r="I596" i="4"/>
  <c r="I676" i="4"/>
  <c r="I756" i="4"/>
  <c r="I916" i="4"/>
  <c r="I356" i="4"/>
  <c r="I556" i="4"/>
  <c r="I616" i="4"/>
  <c r="I696" i="4"/>
  <c r="I776" i="4"/>
  <c r="I836" i="4"/>
  <c r="I936" i="4"/>
  <c r="I336" i="4"/>
  <c r="I496" i="4"/>
  <c r="I636" i="4"/>
  <c r="I716" i="4"/>
  <c r="I796" i="4"/>
  <c r="I956" i="4"/>
  <c r="I39" i="4"/>
  <c r="I119" i="4"/>
  <c r="I239" i="4"/>
  <c r="I59" i="4"/>
  <c r="I139" i="4"/>
  <c r="I339" i="4"/>
  <c r="I79" i="4"/>
  <c r="I159" i="4"/>
  <c r="I19" i="4"/>
  <c r="I99" i="4"/>
  <c r="I199" i="4"/>
  <c r="I319" i="4"/>
  <c r="I219" i="4"/>
  <c r="I299" i="4"/>
  <c r="I399" i="4"/>
  <c r="I479" i="4"/>
  <c r="I559" i="4"/>
  <c r="I619" i="4"/>
  <c r="I699" i="4"/>
  <c r="I779" i="4"/>
  <c r="I959" i="4"/>
  <c r="I259" i="4"/>
  <c r="I419" i="4"/>
  <c r="I499" i="4"/>
  <c r="I639" i="4"/>
  <c r="I719" i="4"/>
  <c r="I799" i="4"/>
  <c r="I819" i="4"/>
  <c r="I879" i="4"/>
  <c r="I279" i="4"/>
  <c r="I359" i="4"/>
  <c r="I439" i="4"/>
  <c r="I519" i="4"/>
  <c r="I579" i="4"/>
  <c r="I659" i="4"/>
  <c r="I739" i="4"/>
  <c r="I919" i="4"/>
  <c r="I859" i="4"/>
  <c r="I939" i="4"/>
  <c r="I179" i="4"/>
  <c r="I379" i="4"/>
  <c r="I459" i="4"/>
  <c r="I539" i="4"/>
  <c r="I599" i="4"/>
  <c r="I679" i="4"/>
  <c r="I759" i="4"/>
  <c r="I899" i="4"/>
  <c r="I8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<sst xmlns="http://schemas.openxmlformats.org/spreadsheetml/2006/main" count="8790" uniqueCount="177">
  <si>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</si>
  <si>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</si>
  <si>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</si>
  <si>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</si>
  <si>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</si>
  <si>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</si>
  <si>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</si>
  <si>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</si>
  <si>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</si>
  <si>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</si>
  <si>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</si>
  <si>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</si>
  <si>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</si>
  <si>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</si>
  <si>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</si>
  <si>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</si>
  <si>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</si>
  <si>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</si>
  <si>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</si>
  <si>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</si>
  <si>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</si>
  <si>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</si>
  <si>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</si>
  <si>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</si>
  <si>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</si>
  <si>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</si>
  <si>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</si>
  <si>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</si>
  <si>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</si>
  <si>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</si>
  <si>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</si>
  <si>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</si>
  <si>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</si>
  <si>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</si>
  <si>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</si>
  <si>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</si>
  <si>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</si>
  <si>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</si>
  <si>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</si>
  <si>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</si>
  <si>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</si>
  <si>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</si>
  <si>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</si>
  <si>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</si>
  <si>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</si>
  <si>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</si>
  <si>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</si>
  <si>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</si>
  <si>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</si>
  <si>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</si>
  <si>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</si>
  <si>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</si>
  <si>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</si>
  <si>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</si>
  <si>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</si>
  <si>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</si>
  <si>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</si>
  <si>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</si>
  <si>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</si>
  <si>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</si>
  <si>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</si>
  <si>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</si>
  <si>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</si>
  <si>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</si>
  <si>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</si>
  <si>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</si>
  <si>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</si>
  <si>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</si>
  <si>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</si>
  <si>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</si>
  <si>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</si>
  <si>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</si>
  <si>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</si>
  <si>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</si>
  <si>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</si>
  <si>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</si>
  <si>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</si>
  <si>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</si>
  <si>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</si>
  <si>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</si>
  <si>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</si>
  <si>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</si>
  <si>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</si>
  <si>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</si>
  <si>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</si>
  <si>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</si>
  <si>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</si>
  <si>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</si>
  <si>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</si>
  <si>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</si>
  <si>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</si>
  <si>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</si>
  <si>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Blenheim Road_Curletts Road_Intersection</t>
  </si>
  <si>
    <t>Curletts Road North</t>
  </si>
  <si>
    <t>Blenheim Road East</t>
  </si>
  <si>
    <t>Curletts Road South</t>
  </si>
  <si>
    <t>Blenheim Road West</t>
  </si>
  <si>
    <t>Left into Blenheim Road East</t>
  </si>
  <si>
    <t>Thru to Curletts Road South</t>
  </si>
  <si>
    <t>Right into Blenheim Road West</t>
  </si>
  <si>
    <t>U-Turn</t>
  </si>
  <si>
    <t>Left into Curletts Road South</t>
  </si>
  <si>
    <t>Thru to Blenheim Road West</t>
  </si>
  <si>
    <t>Right into Curletts Road North</t>
  </si>
  <si>
    <t>Left into Blenheim Road West</t>
  </si>
  <si>
    <t>Thru to Curletts Road North</t>
  </si>
  <si>
    <t>Right into Blenheim Road East</t>
  </si>
  <si>
    <t>Left into Curletts Road North</t>
  </si>
  <si>
    <t>Thru to Blenheim Road East</t>
  </si>
  <si>
    <t>Right into Curletts Road South</t>
  </si>
  <si>
    <t>Blenheim Road_Curletts Road_Intersection      Fine      4/05/2021</t>
  </si>
  <si>
    <t>Curletts Road North Total</t>
  </si>
  <si>
    <t>Blenheim Road East Total</t>
  </si>
  <si>
    <t>Curletts Road South Total</t>
  </si>
  <si>
    <t>Blenheim Road West Total</t>
  </si>
  <si>
    <t>Left into Blenheim Road East Total</t>
  </si>
  <si>
    <t>Thru to Curletts Road South Total</t>
  </si>
  <si>
    <t>Right into Blenheim Road West Total</t>
  </si>
  <si>
    <t>U-Turn Total</t>
  </si>
  <si>
    <t>Left into Curletts Road South Total</t>
  </si>
  <si>
    <t>Thru to Blenheim Road West Total</t>
  </si>
  <si>
    <t>Right into Curletts Road North Total</t>
  </si>
  <si>
    <t>Left into Blenheim Road West Total</t>
  </si>
  <si>
    <t>Thru to Curletts Road North Total</t>
  </si>
  <si>
    <t>Right into Blenheim Road East Total</t>
  </si>
  <si>
    <t>Left into Curletts Road North Total</t>
  </si>
  <si>
    <t>Thru to Blenheim Road East Total</t>
  </si>
  <si>
    <t>Right into Curletts Road South Total</t>
  </si>
  <si>
    <t>INT Total</t>
  </si>
  <si>
    <t/>
  </si>
  <si>
    <t>5:45 PM</t>
  </si>
  <si>
    <t>5:30 PM</t>
  </si>
  <si>
    <t>5:15 PM</t>
  </si>
  <si>
    <t>5:00 PM</t>
  </si>
  <si>
    <t>4:45 PM</t>
  </si>
  <si>
    <t>4:30 PM</t>
  </si>
  <si>
    <t>4:15 PM</t>
  </si>
  <si>
    <t>4:00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</si>
  <si>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</si>
  <si>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</si>
  <si>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</si>
  <si>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</si>
  <si>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</si>
  <si>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</si>
  <si>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</si>
  <si>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</si>
  <si>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</si>
  <si>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</si>
  <si>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</si>
  <si>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</si>
  <si>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</si>
  <si>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</si>
  <si>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</si>
  <si>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</si>
  <si>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</si>
  <si>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</si>
  <si>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</si>
  <si>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</si>
  <si>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</si>
  <si>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</si>
  <si>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</si>
  <si>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</si>
  <si>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</si>
  <si>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Curletts Rd Northbound</t>
  </si>
  <si>
    <t>Blenheim Rd Westbound</t>
  </si>
  <si>
    <t>Curletts Rd Southbound</t>
  </si>
  <si>
    <t>Lights</t>
  </si>
  <si>
    <t>Classification</t>
  </si>
  <si>
    <t>Road</t>
  </si>
  <si>
    <t>Type</t>
  </si>
  <si>
    <t>Project</t>
  </si>
  <si>
    <t>Site Code</t>
  </si>
  <si>
    <t>Start Date</t>
  </si>
  <si>
    <t>Study Name</t>
  </si>
  <si>
    <t>Totals</t>
  </si>
  <si>
    <t xml:space="preserve">CCC I0838 - Blenheim - Curletts </t>
  </si>
  <si>
    <t>Bicycles on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</si>
</sst>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7"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9">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18" fontId="4" fillId="0" borderId="0" xfId="1" applyNumberFormat="1" applyAlignment="1">
      <alignment horizontal="left"/>
    </xf>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10" xfId="0" applyBorder="1" applyAlignment="1">
      <alignment horizontal="center" vertical="center" wrapText="1"/>
    </xf>
    <xf numFmtId="0" fontId="0" fillId="0" borderId="10" xfId="0"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6" fillId="0" borderId="0" xfId="1" applyFont="1" applyAlignment="1">
      <alignment horizontal="left"/>
    </xf>
    <xf numFmtId="18" fontId="5" fillId="0" borderId="0" xfId="1" applyNumberFormat="1" applyFont="1" applyAlignment="1">
      <alignment horizontal="left"/>
    </xf>
    <xf numFmtId="14" fontId="5" fillId="0" borderId="0" xfId="1" applyNumberFormat="1" applyFont="1" applyAlignment="1">
      <alignment horizontal="left"/>
    </xf>
  </cellXfs>
  <cellStyles count="2">
    <cellStyle name="Normal" xfId="0" builtinId="0"/>
    <cellStyle name="Normal 2" xfId="1" xr:uid="{AAE97FA1-C2EF-43DF-9CDB-1996E3654DCC}"/>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[I0838_Blenheim Road_Curletts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195</c:v>
                </c:pt>
                <c:pt idx="2">
                  <c:v>213</c:v>
                </c:pt>
                <c:pt idx="3">
                  <c:v>279</c:v>
                </c:pt>
                <c:pt idx="4">
                  <c:v>251</c:v>
                </c:pt>
                <c:pt idx="5">
                  <c:v>232</c:v>
                </c:pt>
                <c:pt idx="6">
                  <c:v>258</c:v>
                </c:pt>
                <c:pt idx="7">
                  <c:v>264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192</c:v>
                </c:pt>
                <c:pt idx="1">
                  <c:v>219</c:v>
                </c:pt>
                <c:pt idx="2">
                  <c:v>264</c:v>
                </c:pt>
                <c:pt idx="3">
                  <c:v>272</c:v>
                </c:pt>
                <c:pt idx="4">
                  <c:v>259</c:v>
                </c:pt>
                <c:pt idx="5">
                  <c:v>291</c:v>
                </c:pt>
                <c:pt idx="6">
                  <c:v>280</c:v>
                </c:pt>
                <c:pt idx="7">
                  <c:v>251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Curletts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250</c:v>
                </c:pt>
                <c:pt idx="1">
                  <c:v>299</c:v>
                </c:pt>
                <c:pt idx="2">
                  <c:v>278</c:v>
                </c:pt>
                <c:pt idx="3">
                  <c:v>312</c:v>
                </c:pt>
                <c:pt idx="4">
                  <c:v>321</c:v>
                </c:pt>
                <c:pt idx="5">
                  <c:v>321</c:v>
                </c:pt>
                <c:pt idx="6">
                  <c:v>330</c:v>
                </c:pt>
                <c:pt idx="7">
                  <c:v>262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Curletts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299</c:v>
                </c:pt>
                <c:pt idx="1">
                  <c:v>398</c:v>
                </c:pt>
                <c:pt idx="2">
                  <c:v>484</c:v>
                </c:pt>
                <c:pt idx="3">
                  <c:v>489</c:v>
                </c:pt>
                <c:pt idx="4">
                  <c:v>567</c:v>
                </c:pt>
                <c:pt idx="5">
                  <c:v>551</c:v>
                </c:pt>
                <c:pt idx="6">
                  <c:v>533</c:v>
                </c:pt>
                <c:pt idx="7">
                  <c:v>453</c:v>
                </c:pt>
              </c:numCache>
            </c:numRef>
          </c:val>
          <c:smooth val="0"/>
          <c:extLst>
            <c:ext xmlns:c16="http://schemas.microsoft.com/office/drawing/2014/chart" uri="{C3380CC4-5D6E-409C-BE32-E72D297353CC}">
              <c16:uniqueId val="{00000000-7422-4AC5-BA55-E599D41589F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[I0838_Blenheim Road_Curletts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197</c:v>
                </c:pt>
                <c:pt idx="1">
                  <c:v>217</c:v>
                </c:pt>
                <c:pt idx="2">
                  <c:v>295</c:v>
                </c:pt>
                <c:pt idx="3">
                  <c:v>341</c:v>
                </c:pt>
                <c:pt idx="4">
                  <c:v>350</c:v>
                </c:pt>
                <c:pt idx="5">
                  <c:v>322</c:v>
                </c:pt>
                <c:pt idx="6">
                  <c:v>330</c:v>
                </c:pt>
                <c:pt idx="7">
                  <c:v>282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204</c:v>
                </c:pt>
                <c:pt idx="1">
                  <c:v>275</c:v>
                </c:pt>
                <c:pt idx="2">
                  <c:v>282</c:v>
                </c:pt>
                <c:pt idx="3">
                  <c:v>346</c:v>
                </c:pt>
                <c:pt idx="4">
                  <c:v>368</c:v>
                </c:pt>
                <c:pt idx="5">
                  <c:v>288</c:v>
                </c:pt>
                <c:pt idx="6">
                  <c:v>276</c:v>
                </c:pt>
                <c:pt idx="7">
                  <c:v>284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Curletts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198</c:v>
                </c:pt>
                <c:pt idx="1">
                  <c:v>240</c:v>
                </c:pt>
                <c:pt idx="2">
                  <c:v>321</c:v>
                </c:pt>
                <c:pt idx="3">
                  <c:v>311</c:v>
                </c:pt>
                <c:pt idx="4">
                  <c:v>359</c:v>
                </c:pt>
                <c:pt idx="5">
                  <c:v>381</c:v>
                </c:pt>
                <c:pt idx="6">
                  <c:v>385</c:v>
                </c:pt>
                <c:pt idx="7">
                  <c:v>317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Curletts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293</c:v>
                </c:pt>
                <c:pt idx="1">
                  <c:v>379</c:v>
                </c:pt>
                <c:pt idx="2">
                  <c:v>341</c:v>
                </c:pt>
                <c:pt idx="3">
                  <c:v>354</c:v>
                </c:pt>
                <c:pt idx="4">
                  <c:v>321</c:v>
                </c:pt>
                <c:pt idx="5">
                  <c:v>404</c:v>
                </c:pt>
                <c:pt idx="6">
                  <c:v>410</c:v>
                </c:pt>
                <c:pt idx="7">
                  <c:v>347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[I0838_Blenheim Road_Curletts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892</c:v>
                </c:pt>
                <c:pt idx="1">
                  <c:v>1111</c:v>
                </c:pt>
                <c:pt idx="2">
                  <c:v>1239</c:v>
                </c:pt>
                <c:pt idx="3">
                  <c:v>1352</c:v>
                </c:pt>
                <c:pt idx="4">
                  <c:v>1398</c:v>
                </c:pt>
                <c:pt idx="5">
                  <c:v>1395</c:v>
                </c:pt>
                <c:pt idx="6">
                  <c:v>1401</c:v>
                </c:pt>
                <c:pt idx="7">
                  <c:v>1230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[I0838_Blenheim Road_Curletts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892</c:v>
                </c:pt>
                <c:pt idx="1">
                  <c:v>1111</c:v>
                </c:pt>
                <c:pt idx="2">
                  <c:v>1239</c:v>
                </c:pt>
                <c:pt idx="3">
                  <c:v>1352</c:v>
                </c:pt>
                <c:pt idx="4">
                  <c:v>1398</c:v>
                </c:pt>
                <c:pt idx="5">
                  <c:v>1395</c:v>
                </c:pt>
                <c:pt idx="6">
                  <c:v>1401</c:v>
                </c:pt>
                <c:pt idx="7">
                  <c:v>1230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1352</c:v>
                </c:pt>
                <c:pt idx="4">
                  <c:v>1398</c:v>
                </c:pt>
                <c:pt idx="5">
                  <c:v>1395</c:v>
                </c:pt>
                <c:pt idx="6">
                  <c:v>1401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26509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141817</xdr:colOff>
      <xdr:row>5</xdr:row>
      <xdr:rowOff>3175</xdr:rowOff>
    </xdr:from>
    <xdr:to>
      <xdr:col>20</xdr:col>
      <xdr:colOff>545092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35.50285520833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483"/>
    </cacheField>
    <cacheField name="Peak" numFmtId="0">
      <sharedItems containsSemiMixedTypes="0" containsString="0" containsNumber="1" containsInteger="1" minValue="0" maxValue="148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35.503071990737" createdVersion="5" refreshedVersion="7" minRefreshableVersion="3" recordCount="960" xr:uid="{00000000-000A-0000-FFFF-FFFF01000000}">
  <cacheSource type="worksheet">
    <worksheetSource name="tblPivotData"/>
  </cacheSource>
  <cacheFields count="9">
    <cacheField name="Approach" numFmtId="0">
      <sharedItems count="7">
        <s v="Curletts Road North"/>
        <s v="Blenheim Road East"/>
        <s v="Curletts Road South"/>
        <s v="Blenheim Road West"/>
        <s v="Grange Rd" u="1"/>
        <s v="Great south Rd (North)" u="1"/>
        <s v="Great south Rd (South)" u="1"/>
      </sharedItems>
    </cacheField>
    <cacheField name="Movement" numFmtId="0">
      <sharedItems count="21">
        <s v="Left into Blenheim Road East"/>
        <s v="Thru to Curletts Road South"/>
        <s v="Right into Blenheim Road West"/>
        <s v="U-Turn"/>
        <s v="Left into Curletts Road South"/>
        <s v="Thru to Blenheim Road West"/>
        <s v="Right into Curletts Road North"/>
        <s v="Left into Blenheim Road West"/>
        <s v="Thru to Curletts Road North"/>
        <s v="Right into Blenheim Road East"/>
        <s v="Left into Curletts Road North"/>
        <s v="Thru to Blenheim Road East"/>
        <s v="Right into Curlett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lenheim Road East"/>
        <s v="Curletts Road South"/>
        <s v="Blenheim Road West"/>
        <s v="Curletts Road North"/>
        <s v="Grange Rd" u="1"/>
        <s v="Great south Rd (North)" u="1"/>
        <s v="Motatau Rd" u="1"/>
        <s v="Great south Rd (South)" u="1"/>
      </sharedItems>
    </cacheField>
    <cacheField name="Vehicle" numFmtId="0">
      <sharedItems count="7">
        <s v="Cars"/>
        <s v="Other Vehicles"/>
        <s v="Cyclists"/>
        <s v="Car" u="1"/>
        <s v="Truck" u="1"/>
        <s v="Cyclist"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5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92"/>
    <n v="0"/>
  </r>
  <r>
    <x v="0"/>
    <x v="1"/>
    <n v="1111"/>
    <n v="0"/>
  </r>
  <r>
    <x v="0"/>
    <x v="2"/>
    <n v="1239"/>
    <n v="0"/>
  </r>
  <r>
    <x v="0"/>
    <x v="3"/>
    <n v="1352"/>
    <n v="1352"/>
  </r>
  <r>
    <x v="0"/>
    <x v="4"/>
    <n v="1398"/>
    <n v="1398"/>
  </r>
  <r>
    <x v="0"/>
    <x v="5"/>
    <n v="1395"/>
    <n v="1395"/>
  </r>
  <r>
    <x v="0"/>
    <x v="6"/>
    <n v="1401"/>
    <n v="1401"/>
  </r>
  <r>
    <x v="0"/>
    <x v="7"/>
    <n v="1230"/>
    <n v="0"/>
  </r>
  <r>
    <x v="1"/>
    <x v="8"/>
    <n v="1265"/>
    <n v="1265"/>
  </r>
  <r>
    <x v="1"/>
    <x v="9"/>
    <n v="1241"/>
    <n v="1241"/>
  </r>
  <r>
    <x v="1"/>
    <x v="10"/>
    <n v="1354"/>
    <n v="1354"/>
  </r>
  <r>
    <x v="1"/>
    <x v="11"/>
    <n v="1339"/>
    <n v="1339"/>
  </r>
  <r>
    <x v="2"/>
    <x v="12"/>
    <n v="1368"/>
    <n v="0"/>
  </r>
  <r>
    <x v="2"/>
    <x v="13"/>
    <n v="1446"/>
    <n v="1446"/>
  </r>
  <r>
    <x v="2"/>
    <x v="14"/>
    <n v="1376"/>
    <n v="1376"/>
  </r>
  <r>
    <x v="2"/>
    <x v="15"/>
    <n v="1433"/>
    <n v="1433"/>
  </r>
  <r>
    <x v="2"/>
    <x v="16"/>
    <n v="1483"/>
    <n v="1483"/>
  </r>
  <r>
    <x v="2"/>
    <x v="17"/>
    <n v="1424"/>
    <n v="0"/>
  </r>
  <r>
    <x v="2"/>
    <x v="18"/>
    <n v="1240"/>
    <n v="0"/>
  </r>
  <r>
    <x v="2"/>
    <x v="19"/>
    <n v="111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38"/>
    <x v="0"/>
    <x v="0"/>
  </r>
  <r>
    <x v="0"/>
    <x v="0"/>
    <x v="0"/>
    <x v="0"/>
    <x v="0"/>
    <x v="1"/>
    <n v="24"/>
    <x v="1"/>
    <x v="0"/>
  </r>
  <r>
    <x v="0"/>
    <x v="0"/>
    <x v="0"/>
    <x v="0"/>
    <x v="0"/>
    <x v="2"/>
    <n v="44"/>
    <x v="2"/>
    <x v="0"/>
  </r>
  <r>
    <x v="0"/>
    <x v="0"/>
    <x v="0"/>
    <x v="0"/>
    <x v="0"/>
    <x v="3"/>
    <n v="57"/>
    <x v="3"/>
    <x v="1"/>
  </r>
  <r>
    <x v="0"/>
    <x v="0"/>
    <x v="0"/>
    <x v="0"/>
    <x v="0"/>
    <x v="4"/>
    <n v="65"/>
    <x v="4"/>
    <x v="1"/>
  </r>
  <r>
    <x v="0"/>
    <x v="0"/>
    <x v="0"/>
    <x v="0"/>
    <x v="0"/>
    <x v="5"/>
    <n v="51"/>
    <x v="5"/>
    <x v="1"/>
  </r>
  <r>
    <x v="0"/>
    <x v="0"/>
    <x v="0"/>
    <x v="0"/>
    <x v="0"/>
    <x v="6"/>
    <n v="51"/>
    <x v="6"/>
    <x v="1"/>
  </r>
  <r>
    <x v="0"/>
    <x v="0"/>
    <x v="0"/>
    <x v="0"/>
    <x v="0"/>
    <x v="7"/>
    <n v="47"/>
    <x v="7"/>
    <x v="0"/>
  </r>
  <r>
    <x v="0"/>
    <x v="0"/>
    <x v="0"/>
    <x v="0"/>
    <x v="1"/>
    <x v="8"/>
    <n v="30"/>
    <x v="8"/>
    <x v="1"/>
  </r>
  <r>
    <x v="0"/>
    <x v="0"/>
    <x v="0"/>
    <x v="0"/>
    <x v="1"/>
    <x v="9"/>
    <n v="26"/>
    <x v="9"/>
    <x v="1"/>
  </r>
  <r>
    <x v="0"/>
    <x v="0"/>
    <x v="0"/>
    <x v="0"/>
    <x v="1"/>
    <x v="10"/>
    <n v="28"/>
    <x v="10"/>
    <x v="1"/>
  </r>
  <r>
    <x v="0"/>
    <x v="0"/>
    <x v="0"/>
    <x v="0"/>
    <x v="1"/>
    <x v="11"/>
    <n v="28"/>
    <x v="11"/>
    <x v="1"/>
  </r>
  <r>
    <x v="0"/>
    <x v="0"/>
    <x v="0"/>
    <x v="0"/>
    <x v="2"/>
    <x v="12"/>
    <n v="26"/>
    <x v="12"/>
    <x v="0"/>
  </r>
  <r>
    <x v="0"/>
    <x v="0"/>
    <x v="0"/>
    <x v="0"/>
    <x v="2"/>
    <x v="13"/>
    <n v="25"/>
    <x v="13"/>
    <x v="1"/>
  </r>
  <r>
    <x v="0"/>
    <x v="0"/>
    <x v="0"/>
    <x v="0"/>
    <x v="2"/>
    <x v="14"/>
    <n v="29"/>
    <x v="14"/>
    <x v="1"/>
  </r>
  <r>
    <x v="0"/>
    <x v="0"/>
    <x v="0"/>
    <x v="0"/>
    <x v="2"/>
    <x v="15"/>
    <n v="20"/>
    <x v="15"/>
    <x v="1"/>
  </r>
  <r>
    <x v="0"/>
    <x v="0"/>
    <x v="0"/>
    <x v="0"/>
    <x v="2"/>
    <x v="16"/>
    <n v="29"/>
    <x v="16"/>
    <x v="1"/>
  </r>
  <r>
    <x v="0"/>
    <x v="0"/>
    <x v="0"/>
    <x v="0"/>
    <x v="2"/>
    <x v="17"/>
    <n v="24"/>
    <x v="17"/>
    <x v="0"/>
  </r>
  <r>
    <x v="0"/>
    <x v="0"/>
    <x v="0"/>
    <x v="0"/>
    <x v="2"/>
    <x v="18"/>
    <n v="21"/>
    <x v="18"/>
    <x v="0"/>
  </r>
  <r>
    <x v="0"/>
    <x v="0"/>
    <x v="0"/>
    <x v="0"/>
    <x v="2"/>
    <x v="19"/>
    <n v="19"/>
    <x v="19"/>
    <x v="0"/>
  </r>
  <r>
    <x v="0"/>
    <x v="0"/>
    <x v="0"/>
    <x v="1"/>
    <x v="0"/>
    <x v="0"/>
    <n v="1"/>
    <x v="0"/>
    <x v="0"/>
  </r>
  <r>
    <x v="0"/>
    <x v="0"/>
    <x v="0"/>
    <x v="1"/>
    <x v="0"/>
    <x v="1"/>
    <n v="0"/>
    <x v="1"/>
    <x v="0"/>
  </r>
  <r>
    <x v="0"/>
    <x v="0"/>
    <x v="0"/>
    <x v="1"/>
    <x v="0"/>
    <x v="2"/>
    <n v="0"/>
    <x v="2"/>
    <x v="0"/>
  </r>
  <r>
    <x v="0"/>
    <x v="0"/>
    <x v="0"/>
    <x v="1"/>
    <x v="0"/>
    <x v="3"/>
    <n v="2"/>
    <x v="3"/>
    <x v="1"/>
  </r>
  <r>
    <x v="0"/>
    <x v="0"/>
    <x v="0"/>
    <x v="1"/>
    <x v="0"/>
    <x v="4"/>
    <n v="4"/>
    <x v="4"/>
    <x v="1"/>
  </r>
  <r>
    <x v="0"/>
    <x v="0"/>
    <x v="0"/>
    <x v="1"/>
    <x v="0"/>
    <x v="5"/>
    <n v="3"/>
    <x v="5"/>
    <x v="1"/>
  </r>
  <r>
    <x v="0"/>
    <x v="0"/>
    <x v="0"/>
    <x v="1"/>
    <x v="0"/>
    <x v="6"/>
    <n v="2"/>
    <x v="6"/>
    <x v="1"/>
  </r>
  <r>
    <x v="0"/>
    <x v="0"/>
    <x v="0"/>
    <x v="1"/>
    <x v="0"/>
    <x v="7"/>
    <n v="1"/>
    <x v="7"/>
    <x v="0"/>
  </r>
  <r>
    <x v="0"/>
    <x v="0"/>
    <x v="0"/>
    <x v="1"/>
    <x v="1"/>
    <x v="8"/>
    <n v="3"/>
    <x v="8"/>
    <x v="1"/>
  </r>
  <r>
    <x v="0"/>
    <x v="0"/>
    <x v="0"/>
    <x v="1"/>
    <x v="1"/>
    <x v="9"/>
    <n v="5"/>
    <x v="9"/>
    <x v="1"/>
  </r>
  <r>
    <x v="0"/>
    <x v="0"/>
    <x v="0"/>
    <x v="1"/>
    <x v="1"/>
    <x v="10"/>
    <n v="0"/>
    <x v="10"/>
    <x v="1"/>
  </r>
  <r>
    <x v="0"/>
    <x v="0"/>
    <x v="0"/>
    <x v="1"/>
    <x v="1"/>
    <x v="11"/>
    <n v="2"/>
    <x v="11"/>
    <x v="1"/>
  </r>
  <r>
    <x v="0"/>
    <x v="0"/>
    <x v="0"/>
    <x v="1"/>
    <x v="2"/>
    <x v="12"/>
    <n v="2"/>
    <x v="12"/>
    <x v="0"/>
  </r>
  <r>
    <x v="0"/>
    <x v="0"/>
    <x v="0"/>
    <x v="1"/>
    <x v="2"/>
    <x v="13"/>
    <n v="1"/>
    <x v="13"/>
    <x v="1"/>
  </r>
  <r>
    <x v="0"/>
    <x v="0"/>
    <x v="0"/>
    <x v="1"/>
    <x v="2"/>
    <x v="14"/>
    <n v="3"/>
    <x v="14"/>
    <x v="1"/>
  </r>
  <r>
    <x v="0"/>
    <x v="0"/>
    <x v="0"/>
    <x v="1"/>
    <x v="2"/>
    <x v="15"/>
    <n v="2"/>
    <x v="15"/>
    <x v="1"/>
  </r>
  <r>
    <x v="0"/>
    <x v="0"/>
    <x v="0"/>
    <x v="1"/>
    <x v="2"/>
    <x v="16"/>
    <n v="0"/>
    <x v="16"/>
    <x v="1"/>
  </r>
  <r>
    <x v="0"/>
    <x v="0"/>
    <x v="0"/>
    <x v="1"/>
    <x v="2"/>
    <x v="17"/>
    <n v="1"/>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88"/>
    <x v="0"/>
    <x v="0"/>
  </r>
  <r>
    <x v="0"/>
    <x v="1"/>
    <x v="1"/>
    <x v="0"/>
    <x v="0"/>
    <x v="1"/>
    <n v="247"/>
    <x v="1"/>
    <x v="0"/>
  </r>
  <r>
    <x v="0"/>
    <x v="1"/>
    <x v="1"/>
    <x v="0"/>
    <x v="0"/>
    <x v="2"/>
    <n v="208"/>
    <x v="2"/>
    <x v="0"/>
  </r>
  <r>
    <x v="0"/>
    <x v="1"/>
    <x v="1"/>
    <x v="0"/>
    <x v="0"/>
    <x v="3"/>
    <n v="228"/>
    <x v="3"/>
    <x v="1"/>
  </r>
  <r>
    <x v="0"/>
    <x v="1"/>
    <x v="1"/>
    <x v="0"/>
    <x v="0"/>
    <x v="4"/>
    <n v="218"/>
    <x v="4"/>
    <x v="1"/>
  </r>
  <r>
    <x v="0"/>
    <x v="1"/>
    <x v="1"/>
    <x v="0"/>
    <x v="0"/>
    <x v="5"/>
    <n v="241"/>
    <x v="5"/>
    <x v="1"/>
  </r>
  <r>
    <x v="0"/>
    <x v="1"/>
    <x v="1"/>
    <x v="0"/>
    <x v="0"/>
    <x v="6"/>
    <n v="248"/>
    <x v="6"/>
    <x v="1"/>
  </r>
  <r>
    <x v="0"/>
    <x v="1"/>
    <x v="1"/>
    <x v="0"/>
    <x v="0"/>
    <x v="7"/>
    <n v="196"/>
    <x v="7"/>
    <x v="0"/>
  </r>
  <r>
    <x v="0"/>
    <x v="1"/>
    <x v="1"/>
    <x v="0"/>
    <x v="1"/>
    <x v="8"/>
    <n v="221"/>
    <x v="8"/>
    <x v="1"/>
  </r>
  <r>
    <x v="0"/>
    <x v="1"/>
    <x v="1"/>
    <x v="0"/>
    <x v="1"/>
    <x v="9"/>
    <n v="215"/>
    <x v="9"/>
    <x v="1"/>
  </r>
  <r>
    <x v="0"/>
    <x v="1"/>
    <x v="1"/>
    <x v="0"/>
    <x v="1"/>
    <x v="10"/>
    <n v="257"/>
    <x v="10"/>
    <x v="1"/>
  </r>
  <r>
    <x v="0"/>
    <x v="1"/>
    <x v="1"/>
    <x v="0"/>
    <x v="1"/>
    <x v="11"/>
    <n v="200"/>
    <x v="11"/>
    <x v="1"/>
  </r>
  <r>
    <x v="0"/>
    <x v="1"/>
    <x v="1"/>
    <x v="0"/>
    <x v="2"/>
    <x v="12"/>
    <n v="235"/>
    <x v="12"/>
    <x v="0"/>
  </r>
  <r>
    <x v="0"/>
    <x v="1"/>
    <x v="1"/>
    <x v="0"/>
    <x v="2"/>
    <x v="13"/>
    <n v="262"/>
    <x v="13"/>
    <x v="1"/>
  </r>
  <r>
    <x v="0"/>
    <x v="1"/>
    <x v="1"/>
    <x v="0"/>
    <x v="2"/>
    <x v="14"/>
    <n v="204"/>
    <x v="14"/>
    <x v="1"/>
  </r>
  <r>
    <x v="0"/>
    <x v="1"/>
    <x v="1"/>
    <x v="0"/>
    <x v="2"/>
    <x v="15"/>
    <n v="267"/>
    <x v="15"/>
    <x v="1"/>
  </r>
  <r>
    <x v="0"/>
    <x v="1"/>
    <x v="1"/>
    <x v="0"/>
    <x v="2"/>
    <x v="16"/>
    <n v="249"/>
    <x v="16"/>
    <x v="1"/>
  </r>
  <r>
    <x v="0"/>
    <x v="1"/>
    <x v="1"/>
    <x v="0"/>
    <x v="2"/>
    <x v="17"/>
    <n v="276"/>
    <x v="17"/>
    <x v="0"/>
  </r>
  <r>
    <x v="0"/>
    <x v="1"/>
    <x v="1"/>
    <x v="0"/>
    <x v="2"/>
    <x v="18"/>
    <n v="250"/>
    <x v="18"/>
    <x v="0"/>
  </r>
  <r>
    <x v="0"/>
    <x v="1"/>
    <x v="1"/>
    <x v="0"/>
    <x v="2"/>
    <x v="19"/>
    <n v="220"/>
    <x v="19"/>
    <x v="0"/>
  </r>
  <r>
    <x v="0"/>
    <x v="1"/>
    <x v="1"/>
    <x v="1"/>
    <x v="0"/>
    <x v="0"/>
    <n v="10"/>
    <x v="0"/>
    <x v="0"/>
  </r>
  <r>
    <x v="0"/>
    <x v="1"/>
    <x v="1"/>
    <x v="1"/>
    <x v="0"/>
    <x v="1"/>
    <n v="12"/>
    <x v="1"/>
    <x v="0"/>
  </r>
  <r>
    <x v="0"/>
    <x v="1"/>
    <x v="1"/>
    <x v="1"/>
    <x v="0"/>
    <x v="2"/>
    <n v="11"/>
    <x v="2"/>
    <x v="0"/>
  </r>
  <r>
    <x v="0"/>
    <x v="1"/>
    <x v="1"/>
    <x v="1"/>
    <x v="0"/>
    <x v="3"/>
    <n v="5"/>
    <x v="3"/>
    <x v="1"/>
  </r>
  <r>
    <x v="0"/>
    <x v="1"/>
    <x v="1"/>
    <x v="1"/>
    <x v="0"/>
    <x v="4"/>
    <n v="9"/>
    <x v="4"/>
    <x v="1"/>
  </r>
  <r>
    <x v="0"/>
    <x v="1"/>
    <x v="1"/>
    <x v="1"/>
    <x v="0"/>
    <x v="5"/>
    <n v="10"/>
    <x v="5"/>
    <x v="1"/>
  </r>
  <r>
    <x v="0"/>
    <x v="1"/>
    <x v="1"/>
    <x v="1"/>
    <x v="0"/>
    <x v="6"/>
    <n v="12"/>
    <x v="6"/>
    <x v="1"/>
  </r>
  <r>
    <x v="0"/>
    <x v="1"/>
    <x v="1"/>
    <x v="1"/>
    <x v="0"/>
    <x v="7"/>
    <n v="8"/>
    <x v="7"/>
    <x v="0"/>
  </r>
  <r>
    <x v="0"/>
    <x v="1"/>
    <x v="1"/>
    <x v="1"/>
    <x v="1"/>
    <x v="8"/>
    <n v="8"/>
    <x v="8"/>
    <x v="1"/>
  </r>
  <r>
    <x v="0"/>
    <x v="1"/>
    <x v="1"/>
    <x v="1"/>
    <x v="1"/>
    <x v="9"/>
    <n v="12"/>
    <x v="9"/>
    <x v="1"/>
  </r>
  <r>
    <x v="0"/>
    <x v="1"/>
    <x v="1"/>
    <x v="1"/>
    <x v="1"/>
    <x v="10"/>
    <n v="16"/>
    <x v="10"/>
    <x v="1"/>
  </r>
  <r>
    <x v="0"/>
    <x v="1"/>
    <x v="1"/>
    <x v="1"/>
    <x v="1"/>
    <x v="11"/>
    <n v="9"/>
    <x v="11"/>
    <x v="1"/>
  </r>
  <r>
    <x v="0"/>
    <x v="1"/>
    <x v="1"/>
    <x v="1"/>
    <x v="2"/>
    <x v="12"/>
    <n v="7"/>
    <x v="12"/>
    <x v="0"/>
  </r>
  <r>
    <x v="0"/>
    <x v="1"/>
    <x v="1"/>
    <x v="1"/>
    <x v="2"/>
    <x v="13"/>
    <n v="11"/>
    <x v="13"/>
    <x v="1"/>
  </r>
  <r>
    <x v="0"/>
    <x v="1"/>
    <x v="1"/>
    <x v="1"/>
    <x v="2"/>
    <x v="14"/>
    <n v="6"/>
    <x v="14"/>
    <x v="1"/>
  </r>
  <r>
    <x v="0"/>
    <x v="1"/>
    <x v="1"/>
    <x v="1"/>
    <x v="2"/>
    <x v="15"/>
    <n v="4"/>
    <x v="15"/>
    <x v="1"/>
  </r>
  <r>
    <x v="0"/>
    <x v="1"/>
    <x v="1"/>
    <x v="1"/>
    <x v="2"/>
    <x v="16"/>
    <n v="6"/>
    <x v="16"/>
    <x v="1"/>
  </r>
  <r>
    <x v="0"/>
    <x v="1"/>
    <x v="1"/>
    <x v="1"/>
    <x v="2"/>
    <x v="17"/>
    <n v="3"/>
    <x v="17"/>
    <x v="0"/>
  </r>
  <r>
    <x v="0"/>
    <x v="1"/>
    <x v="1"/>
    <x v="1"/>
    <x v="2"/>
    <x v="18"/>
    <n v="5"/>
    <x v="18"/>
    <x v="0"/>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11"/>
    <x v="0"/>
    <x v="0"/>
  </r>
  <r>
    <x v="0"/>
    <x v="2"/>
    <x v="2"/>
    <x v="0"/>
    <x v="0"/>
    <x v="1"/>
    <n v="15"/>
    <x v="1"/>
    <x v="0"/>
  </r>
  <r>
    <x v="0"/>
    <x v="2"/>
    <x v="2"/>
    <x v="0"/>
    <x v="0"/>
    <x v="2"/>
    <n v="14"/>
    <x v="2"/>
    <x v="0"/>
  </r>
  <r>
    <x v="0"/>
    <x v="2"/>
    <x v="2"/>
    <x v="0"/>
    <x v="0"/>
    <x v="3"/>
    <n v="20"/>
    <x v="3"/>
    <x v="1"/>
  </r>
  <r>
    <x v="0"/>
    <x v="2"/>
    <x v="2"/>
    <x v="0"/>
    <x v="0"/>
    <x v="4"/>
    <n v="23"/>
    <x v="4"/>
    <x v="1"/>
  </r>
  <r>
    <x v="0"/>
    <x v="2"/>
    <x v="2"/>
    <x v="0"/>
    <x v="0"/>
    <x v="5"/>
    <n v="14"/>
    <x v="5"/>
    <x v="1"/>
  </r>
  <r>
    <x v="0"/>
    <x v="2"/>
    <x v="2"/>
    <x v="0"/>
    <x v="0"/>
    <x v="6"/>
    <n v="16"/>
    <x v="6"/>
    <x v="1"/>
  </r>
  <r>
    <x v="0"/>
    <x v="2"/>
    <x v="2"/>
    <x v="0"/>
    <x v="0"/>
    <x v="7"/>
    <n v="10"/>
    <x v="7"/>
    <x v="0"/>
  </r>
  <r>
    <x v="0"/>
    <x v="2"/>
    <x v="2"/>
    <x v="0"/>
    <x v="1"/>
    <x v="8"/>
    <n v="19"/>
    <x v="8"/>
    <x v="1"/>
  </r>
  <r>
    <x v="0"/>
    <x v="2"/>
    <x v="2"/>
    <x v="0"/>
    <x v="1"/>
    <x v="9"/>
    <n v="11"/>
    <x v="9"/>
    <x v="1"/>
  </r>
  <r>
    <x v="0"/>
    <x v="2"/>
    <x v="2"/>
    <x v="0"/>
    <x v="1"/>
    <x v="10"/>
    <n v="12"/>
    <x v="10"/>
    <x v="1"/>
  </r>
  <r>
    <x v="0"/>
    <x v="2"/>
    <x v="2"/>
    <x v="0"/>
    <x v="1"/>
    <x v="11"/>
    <n v="17"/>
    <x v="11"/>
    <x v="1"/>
  </r>
  <r>
    <x v="0"/>
    <x v="2"/>
    <x v="2"/>
    <x v="0"/>
    <x v="2"/>
    <x v="12"/>
    <n v="17"/>
    <x v="12"/>
    <x v="0"/>
  </r>
  <r>
    <x v="0"/>
    <x v="2"/>
    <x v="2"/>
    <x v="0"/>
    <x v="2"/>
    <x v="13"/>
    <n v="12"/>
    <x v="13"/>
    <x v="1"/>
  </r>
  <r>
    <x v="0"/>
    <x v="2"/>
    <x v="2"/>
    <x v="0"/>
    <x v="2"/>
    <x v="14"/>
    <n v="13"/>
    <x v="14"/>
    <x v="1"/>
  </r>
  <r>
    <x v="0"/>
    <x v="2"/>
    <x v="2"/>
    <x v="0"/>
    <x v="2"/>
    <x v="15"/>
    <n v="9"/>
    <x v="15"/>
    <x v="1"/>
  </r>
  <r>
    <x v="0"/>
    <x v="2"/>
    <x v="2"/>
    <x v="0"/>
    <x v="2"/>
    <x v="16"/>
    <n v="11"/>
    <x v="16"/>
    <x v="1"/>
  </r>
  <r>
    <x v="0"/>
    <x v="2"/>
    <x v="2"/>
    <x v="0"/>
    <x v="2"/>
    <x v="17"/>
    <n v="7"/>
    <x v="17"/>
    <x v="0"/>
  </r>
  <r>
    <x v="0"/>
    <x v="2"/>
    <x v="2"/>
    <x v="0"/>
    <x v="2"/>
    <x v="18"/>
    <n v="8"/>
    <x v="18"/>
    <x v="0"/>
  </r>
  <r>
    <x v="0"/>
    <x v="2"/>
    <x v="2"/>
    <x v="0"/>
    <x v="2"/>
    <x v="19"/>
    <n v="12"/>
    <x v="19"/>
    <x v="0"/>
  </r>
  <r>
    <x v="0"/>
    <x v="2"/>
    <x v="2"/>
    <x v="1"/>
    <x v="0"/>
    <x v="0"/>
    <n v="2"/>
    <x v="0"/>
    <x v="0"/>
  </r>
  <r>
    <x v="0"/>
    <x v="2"/>
    <x v="2"/>
    <x v="1"/>
    <x v="0"/>
    <x v="1"/>
    <n v="1"/>
    <x v="1"/>
    <x v="0"/>
  </r>
  <r>
    <x v="0"/>
    <x v="2"/>
    <x v="2"/>
    <x v="1"/>
    <x v="0"/>
    <x v="2"/>
    <n v="1"/>
    <x v="2"/>
    <x v="0"/>
  </r>
  <r>
    <x v="0"/>
    <x v="2"/>
    <x v="2"/>
    <x v="1"/>
    <x v="0"/>
    <x v="3"/>
    <n v="0"/>
    <x v="3"/>
    <x v="1"/>
  </r>
  <r>
    <x v="0"/>
    <x v="2"/>
    <x v="2"/>
    <x v="1"/>
    <x v="0"/>
    <x v="4"/>
    <n v="2"/>
    <x v="4"/>
    <x v="1"/>
  </r>
  <r>
    <x v="0"/>
    <x v="2"/>
    <x v="2"/>
    <x v="1"/>
    <x v="0"/>
    <x v="5"/>
    <n v="2"/>
    <x v="5"/>
    <x v="1"/>
  </r>
  <r>
    <x v="0"/>
    <x v="2"/>
    <x v="2"/>
    <x v="1"/>
    <x v="0"/>
    <x v="6"/>
    <n v="1"/>
    <x v="6"/>
    <x v="1"/>
  </r>
  <r>
    <x v="0"/>
    <x v="2"/>
    <x v="2"/>
    <x v="1"/>
    <x v="0"/>
    <x v="7"/>
    <n v="0"/>
    <x v="7"/>
    <x v="0"/>
  </r>
  <r>
    <x v="0"/>
    <x v="2"/>
    <x v="2"/>
    <x v="1"/>
    <x v="1"/>
    <x v="8"/>
    <n v="1"/>
    <x v="8"/>
    <x v="1"/>
  </r>
  <r>
    <x v="0"/>
    <x v="2"/>
    <x v="2"/>
    <x v="1"/>
    <x v="1"/>
    <x v="9"/>
    <n v="0"/>
    <x v="9"/>
    <x v="1"/>
  </r>
  <r>
    <x v="0"/>
    <x v="2"/>
    <x v="2"/>
    <x v="1"/>
    <x v="1"/>
    <x v="10"/>
    <n v="1"/>
    <x v="10"/>
    <x v="1"/>
  </r>
  <r>
    <x v="0"/>
    <x v="2"/>
    <x v="2"/>
    <x v="1"/>
    <x v="1"/>
    <x v="11"/>
    <n v="2"/>
    <x v="11"/>
    <x v="1"/>
  </r>
  <r>
    <x v="0"/>
    <x v="2"/>
    <x v="2"/>
    <x v="1"/>
    <x v="2"/>
    <x v="12"/>
    <n v="2"/>
    <x v="12"/>
    <x v="0"/>
  </r>
  <r>
    <x v="0"/>
    <x v="2"/>
    <x v="2"/>
    <x v="1"/>
    <x v="2"/>
    <x v="13"/>
    <n v="0"/>
    <x v="13"/>
    <x v="1"/>
  </r>
  <r>
    <x v="0"/>
    <x v="2"/>
    <x v="2"/>
    <x v="1"/>
    <x v="2"/>
    <x v="14"/>
    <n v="3"/>
    <x v="14"/>
    <x v="1"/>
  </r>
  <r>
    <x v="0"/>
    <x v="2"/>
    <x v="2"/>
    <x v="1"/>
    <x v="2"/>
    <x v="15"/>
    <n v="1"/>
    <x v="15"/>
    <x v="1"/>
  </r>
  <r>
    <x v="0"/>
    <x v="2"/>
    <x v="2"/>
    <x v="1"/>
    <x v="2"/>
    <x v="16"/>
    <n v="0"/>
    <x v="16"/>
    <x v="1"/>
  </r>
  <r>
    <x v="0"/>
    <x v="2"/>
    <x v="2"/>
    <x v="1"/>
    <x v="2"/>
    <x v="17"/>
    <n v="1"/>
    <x v="17"/>
    <x v="0"/>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2"/>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31"/>
    <x v="0"/>
    <x v="0"/>
  </r>
  <r>
    <x v="1"/>
    <x v="4"/>
    <x v="1"/>
    <x v="0"/>
    <x v="0"/>
    <x v="1"/>
    <n v="45"/>
    <x v="1"/>
    <x v="0"/>
  </r>
  <r>
    <x v="1"/>
    <x v="4"/>
    <x v="1"/>
    <x v="0"/>
    <x v="0"/>
    <x v="2"/>
    <n v="50"/>
    <x v="2"/>
    <x v="0"/>
  </r>
  <r>
    <x v="1"/>
    <x v="4"/>
    <x v="1"/>
    <x v="0"/>
    <x v="0"/>
    <x v="3"/>
    <n v="49"/>
    <x v="3"/>
    <x v="1"/>
  </r>
  <r>
    <x v="1"/>
    <x v="4"/>
    <x v="1"/>
    <x v="0"/>
    <x v="0"/>
    <x v="4"/>
    <n v="25"/>
    <x v="4"/>
    <x v="1"/>
  </r>
  <r>
    <x v="1"/>
    <x v="4"/>
    <x v="1"/>
    <x v="0"/>
    <x v="0"/>
    <x v="5"/>
    <n v="60"/>
    <x v="5"/>
    <x v="1"/>
  </r>
  <r>
    <x v="1"/>
    <x v="4"/>
    <x v="1"/>
    <x v="0"/>
    <x v="0"/>
    <x v="6"/>
    <n v="70"/>
    <x v="6"/>
    <x v="1"/>
  </r>
  <r>
    <x v="1"/>
    <x v="4"/>
    <x v="1"/>
    <x v="0"/>
    <x v="0"/>
    <x v="7"/>
    <n v="55"/>
    <x v="7"/>
    <x v="0"/>
  </r>
  <r>
    <x v="1"/>
    <x v="4"/>
    <x v="1"/>
    <x v="0"/>
    <x v="1"/>
    <x v="8"/>
    <n v="66"/>
    <x v="8"/>
    <x v="1"/>
  </r>
  <r>
    <x v="1"/>
    <x v="4"/>
    <x v="1"/>
    <x v="0"/>
    <x v="1"/>
    <x v="9"/>
    <n v="84"/>
    <x v="9"/>
    <x v="1"/>
  </r>
  <r>
    <x v="1"/>
    <x v="4"/>
    <x v="1"/>
    <x v="0"/>
    <x v="1"/>
    <x v="10"/>
    <n v="79"/>
    <x v="10"/>
    <x v="1"/>
  </r>
  <r>
    <x v="1"/>
    <x v="4"/>
    <x v="1"/>
    <x v="0"/>
    <x v="1"/>
    <x v="11"/>
    <n v="93"/>
    <x v="11"/>
    <x v="1"/>
  </r>
  <r>
    <x v="1"/>
    <x v="4"/>
    <x v="1"/>
    <x v="0"/>
    <x v="2"/>
    <x v="12"/>
    <n v="59"/>
    <x v="12"/>
    <x v="0"/>
  </r>
  <r>
    <x v="1"/>
    <x v="4"/>
    <x v="1"/>
    <x v="0"/>
    <x v="2"/>
    <x v="13"/>
    <n v="72"/>
    <x v="13"/>
    <x v="1"/>
  </r>
  <r>
    <x v="1"/>
    <x v="4"/>
    <x v="1"/>
    <x v="0"/>
    <x v="2"/>
    <x v="14"/>
    <n v="78"/>
    <x v="14"/>
    <x v="1"/>
  </r>
  <r>
    <x v="1"/>
    <x v="4"/>
    <x v="1"/>
    <x v="0"/>
    <x v="2"/>
    <x v="15"/>
    <n v="71"/>
    <x v="15"/>
    <x v="1"/>
  </r>
  <r>
    <x v="1"/>
    <x v="4"/>
    <x v="1"/>
    <x v="0"/>
    <x v="2"/>
    <x v="16"/>
    <n v="85"/>
    <x v="16"/>
    <x v="1"/>
  </r>
  <r>
    <x v="1"/>
    <x v="4"/>
    <x v="1"/>
    <x v="0"/>
    <x v="2"/>
    <x v="17"/>
    <n v="72"/>
    <x v="17"/>
    <x v="0"/>
  </r>
  <r>
    <x v="1"/>
    <x v="4"/>
    <x v="1"/>
    <x v="0"/>
    <x v="2"/>
    <x v="18"/>
    <n v="68"/>
    <x v="18"/>
    <x v="0"/>
  </r>
  <r>
    <x v="1"/>
    <x v="4"/>
    <x v="1"/>
    <x v="0"/>
    <x v="2"/>
    <x v="19"/>
    <n v="62"/>
    <x v="19"/>
    <x v="0"/>
  </r>
  <r>
    <x v="1"/>
    <x v="4"/>
    <x v="1"/>
    <x v="1"/>
    <x v="0"/>
    <x v="0"/>
    <n v="2"/>
    <x v="0"/>
    <x v="0"/>
  </r>
  <r>
    <x v="1"/>
    <x v="4"/>
    <x v="1"/>
    <x v="1"/>
    <x v="0"/>
    <x v="1"/>
    <n v="1"/>
    <x v="1"/>
    <x v="0"/>
  </r>
  <r>
    <x v="1"/>
    <x v="4"/>
    <x v="1"/>
    <x v="1"/>
    <x v="0"/>
    <x v="2"/>
    <n v="2"/>
    <x v="2"/>
    <x v="0"/>
  </r>
  <r>
    <x v="1"/>
    <x v="4"/>
    <x v="1"/>
    <x v="1"/>
    <x v="0"/>
    <x v="3"/>
    <n v="5"/>
    <x v="3"/>
    <x v="1"/>
  </r>
  <r>
    <x v="1"/>
    <x v="4"/>
    <x v="1"/>
    <x v="1"/>
    <x v="0"/>
    <x v="4"/>
    <n v="3"/>
    <x v="4"/>
    <x v="1"/>
  </r>
  <r>
    <x v="1"/>
    <x v="4"/>
    <x v="1"/>
    <x v="1"/>
    <x v="0"/>
    <x v="5"/>
    <n v="2"/>
    <x v="5"/>
    <x v="1"/>
  </r>
  <r>
    <x v="1"/>
    <x v="4"/>
    <x v="1"/>
    <x v="1"/>
    <x v="0"/>
    <x v="6"/>
    <n v="7"/>
    <x v="6"/>
    <x v="1"/>
  </r>
  <r>
    <x v="1"/>
    <x v="4"/>
    <x v="1"/>
    <x v="1"/>
    <x v="0"/>
    <x v="7"/>
    <n v="6"/>
    <x v="7"/>
    <x v="0"/>
  </r>
  <r>
    <x v="1"/>
    <x v="4"/>
    <x v="1"/>
    <x v="1"/>
    <x v="1"/>
    <x v="8"/>
    <n v="2"/>
    <x v="8"/>
    <x v="1"/>
  </r>
  <r>
    <x v="1"/>
    <x v="4"/>
    <x v="1"/>
    <x v="1"/>
    <x v="1"/>
    <x v="9"/>
    <n v="4"/>
    <x v="9"/>
    <x v="1"/>
  </r>
  <r>
    <x v="1"/>
    <x v="4"/>
    <x v="1"/>
    <x v="1"/>
    <x v="1"/>
    <x v="10"/>
    <n v="1"/>
    <x v="10"/>
    <x v="1"/>
  </r>
  <r>
    <x v="1"/>
    <x v="4"/>
    <x v="1"/>
    <x v="1"/>
    <x v="1"/>
    <x v="11"/>
    <n v="1"/>
    <x v="11"/>
    <x v="1"/>
  </r>
  <r>
    <x v="1"/>
    <x v="4"/>
    <x v="1"/>
    <x v="1"/>
    <x v="2"/>
    <x v="12"/>
    <n v="3"/>
    <x v="12"/>
    <x v="0"/>
  </r>
  <r>
    <x v="1"/>
    <x v="4"/>
    <x v="1"/>
    <x v="1"/>
    <x v="2"/>
    <x v="13"/>
    <n v="3"/>
    <x v="13"/>
    <x v="1"/>
  </r>
  <r>
    <x v="1"/>
    <x v="4"/>
    <x v="1"/>
    <x v="1"/>
    <x v="2"/>
    <x v="14"/>
    <n v="4"/>
    <x v="14"/>
    <x v="1"/>
  </r>
  <r>
    <x v="1"/>
    <x v="4"/>
    <x v="1"/>
    <x v="1"/>
    <x v="2"/>
    <x v="15"/>
    <n v="2"/>
    <x v="15"/>
    <x v="1"/>
  </r>
  <r>
    <x v="1"/>
    <x v="4"/>
    <x v="1"/>
    <x v="1"/>
    <x v="2"/>
    <x v="16"/>
    <n v="1"/>
    <x v="16"/>
    <x v="1"/>
  </r>
  <r>
    <x v="1"/>
    <x v="4"/>
    <x v="1"/>
    <x v="1"/>
    <x v="2"/>
    <x v="17"/>
    <n v="1"/>
    <x v="17"/>
    <x v="0"/>
  </r>
  <r>
    <x v="1"/>
    <x v="4"/>
    <x v="1"/>
    <x v="1"/>
    <x v="2"/>
    <x v="18"/>
    <n v="2"/>
    <x v="18"/>
    <x v="0"/>
  </r>
  <r>
    <x v="1"/>
    <x v="4"/>
    <x v="1"/>
    <x v="1"/>
    <x v="2"/>
    <x v="19"/>
    <n v="1"/>
    <x v="19"/>
    <x v="0"/>
  </r>
  <r>
    <x v="1"/>
    <x v="4"/>
    <x v="1"/>
    <x v="2"/>
    <x v="0"/>
    <x v="0"/>
    <n v="1"/>
    <x v="0"/>
    <x v="0"/>
  </r>
  <r>
    <x v="1"/>
    <x v="4"/>
    <x v="1"/>
    <x v="2"/>
    <x v="0"/>
    <x v="1"/>
    <n v="0"/>
    <x v="1"/>
    <x v="0"/>
  </r>
  <r>
    <x v="1"/>
    <x v="4"/>
    <x v="1"/>
    <x v="2"/>
    <x v="0"/>
    <x v="2"/>
    <n v="1"/>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98"/>
    <x v="0"/>
    <x v="0"/>
  </r>
  <r>
    <x v="1"/>
    <x v="5"/>
    <x v="2"/>
    <x v="0"/>
    <x v="0"/>
    <x v="1"/>
    <n v="119"/>
    <x v="1"/>
    <x v="0"/>
  </r>
  <r>
    <x v="1"/>
    <x v="5"/>
    <x v="2"/>
    <x v="0"/>
    <x v="0"/>
    <x v="2"/>
    <n v="136"/>
    <x v="2"/>
    <x v="0"/>
  </r>
  <r>
    <x v="1"/>
    <x v="5"/>
    <x v="2"/>
    <x v="0"/>
    <x v="0"/>
    <x v="3"/>
    <n v="191"/>
    <x v="3"/>
    <x v="1"/>
  </r>
  <r>
    <x v="1"/>
    <x v="5"/>
    <x v="2"/>
    <x v="0"/>
    <x v="0"/>
    <x v="4"/>
    <n v="192"/>
    <x v="4"/>
    <x v="1"/>
  </r>
  <r>
    <x v="1"/>
    <x v="5"/>
    <x v="2"/>
    <x v="0"/>
    <x v="0"/>
    <x v="5"/>
    <n v="132"/>
    <x v="5"/>
    <x v="1"/>
  </r>
  <r>
    <x v="1"/>
    <x v="5"/>
    <x v="2"/>
    <x v="0"/>
    <x v="0"/>
    <x v="6"/>
    <n v="127"/>
    <x v="6"/>
    <x v="1"/>
  </r>
  <r>
    <x v="1"/>
    <x v="5"/>
    <x v="2"/>
    <x v="0"/>
    <x v="0"/>
    <x v="7"/>
    <n v="155"/>
    <x v="7"/>
    <x v="0"/>
  </r>
  <r>
    <x v="1"/>
    <x v="5"/>
    <x v="2"/>
    <x v="0"/>
    <x v="1"/>
    <x v="8"/>
    <n v="176"/>
    <x v="8"/>
    <x v="1"/>
  </r>
  <r>
    <x v="1"/>
    <x v="5"/>
    <x v="2"/>
    <x v="0"/>
    <x v="1"/>
    <x v="9"/>
    <n v="188"/>
    <x v="9"/>
    <x v="1"/>
  </r>
  <r>
    <x v="1"/>
    <x v="5"/>
    <x v="2"/>
    <x v="0"/>
    <x v="1"/>
    <x v="10"/>
    <n v="180"/>
    <x v="10"/>
    <x v="1"/>
  </r>
  <r>
    <x v="1"/>
    <x v="5"/>
    <x v="2"/>
    <x v="0"/>
    <x v="1"/>
    <x v="11"/>
    <n v="228"/>
    <x v="11"/>
    <x v="1"/>
  </r>
  <r>
    <x v="1"/>
    <x v="5"/>
    <x v="2"/>
    <x v="0"/>
    <x v="2"/>
    <x v="12"/>
    <n v="175"/>
    <x v="12"/>
    <x v="0"/>
  </r>
  <r>
    <x v="1"/>
    <x v="5"/>
    <x v="2"/>
    <x v="0"/>
    <x v="2"/>
    <x v="13"/>
    <n v="195"/>
    <x v="13"/>
    <x v="1"/>
  </r>
  <r>
    <x v="1"/>
    <x v="5"/>
    <x v="2"/>
    <x v="0"/>
    <x v="2"/>
    <x v="14"/>
    <n v="171"/>
    <x v="14"/>
    <x v="1"/>
  </r>
  <r>
    <x v="1"/>
    <x v="5"/>
    <x v="2"/>
    <x v="0"/>
    <x v="2"/>
    <x v="15"/>
    <n v="217"/>
    <x v="15"/>
    <x v="1"/>
  </r>
  <r>
    <x v="1"/>
    <x v="5"/>
    <x v="2"/>
    <x v="0"/>
    <x v="2"/>
    <x v="16"/>
    <n v="178"/>
    <x v="16"/>
    <x v="1"/>
  </r>
  <r>
    <x v="1"/>
    <x v="5"/>
    <x v="2"/>
    <x v="0"/>
    <x v="2"/>
    <x v="17"/>
    <n v="209"/>
    <x v="17"/>
    <x v="0"/>
  </r>
  <r>
    <x v="1"/>
    <x v="5"/>
    <x v="2"/>
    <x v="0"/>
    <x v="2"/>
    <x v="18"/>
    <n v="170"/>
    <x v="18"/>
    <x v="0"/>
  </r>
  <r>
    <x v="1"/>
    <x v="5"/>
    <x v="2"/>
    <x v="0"/>
    <x v="2"/>
    <x v="19"/>
    <n v="194"/>
    <x v="19"/>
    <x v="0"/>
  </r>
  <r>
    <x v="1"/>
    <x v="5"/>
    <x v="2"/>
    <x v="1"/>
    <x v="0"/>
    <x v="0"/>
    <n v="8"/>
    <x v="0"/>
    <x v="0"/>
  </r>
  <r>
    <x v="1"/>
    <x v="5"/>
    <x v="2"/>
    <x v="1"/>
    <x v="0"/>
    <x v="1"/>
    <n v="11"/>
    <x v="1"/>
    <x v="0"/>
  </r>
  <r>
    <x v="1"/>
    <x v="5"/>
    <x v="2"/>
    <x v="1"/>
    <x v="0"/>
    <x v="2"/>
    <n v="8"/>
    <x v="2"/>
    <x v="0"/>
  </r>
  <r>
    <x v="1"/>
    <x v="5"/>
    <x v="2"/>
    <x v="1"/>
    <x v="0"/>
    <x v="3"/>
    <n v="10"/>
    <x v="3"/>
    <x v="1"/>
  </r>
  <r>
    <x v="1"/>
    <x v="5"/>
    <x v="2"/>
    <x v="1"/>
    <x v="0"/>
    <x v="4"/>
    <n v="6"/>
    <x v="4"/>
    <x v="1"/>
  </r>
  <r>
    <x v="1"/>
    <x v="5"/>
    <x v="2"/>
    <x v="1"/>
    <x v="0"/>
    <x v="5"/>
    <n v="8"/>
    <x v="5"/>
    <x v="1"/>
  </r>
  <r>
    <x v="1"/>
    <x v="5"/>
    <x v="2"/>
    <x v="1"/>
    <x v="0"/>
    <x v="6"/>
    <n v="9"/>
    <x v="6"/>
    <x v="1"/>
  </r>
  <r>
    <x v="1"/>
    <x v="5"/>
    <x v="2"/>
    <x v="1"/>
    <x v="0"/>
    <x v="7"/>
    <n v="6"/>
    <x v="7"/>
    <x v="0"/>
  </r>
  <r>
    <x v="1"/>
    <x v="5"/>
    <x v="2"/>
    <x v="1"/>
    <x v="1"/>
    <x v="8"/>
    <n v="11"/>
    <x v="8"/>
    <x v="1"/>
  </r>
  <r>
    <x v="1"/>
    <x v="5"/>
    <x v="2"/>
    <x v="1"/>
    <x v="1"/>
    <x v="9"/>
    <n v="9"/>
    <x v="9"/>
    <x v="1"/>
  </r>
  <r>
    <x v="1"/>
    <x v="5"/>
    <x v="2"/>
    <x v="1"/>
    <x v="1"/>
    <x v="10"/>
    <n v="12"/>
    <x v="10"/>
    <x v="1"/>
  </r>
  <r>
    <x v="1"/>
    <x v="5"/>
    <x v="2"/>
    <x v="1"/>
    <x v="1"/>
    <x v="11"/>
    <n v="9"/>
    <x v="11"/>
    <x v="1"/>
  </r>
  <r>
    <x v="1"/>
    <x v="5"/>
    <x v="2"/>
    <x v="1"/>
    <x v="2"/>
    <x v="12"/>
    <n v="7"/>
    <x v="12"/>
    <x v="0"/>
  </r>
  <r>
    <x v="1"/>
    <x v="5"/>
    <x v="2"/>
    <x v="1"/>
    <x v="2"/>
    <x v="13"/>
    <n v="6"/>
    <x v="13"/>
    <x v="1"/>
  </r>
  <r>
    <x v="1"/>
    <x v="5"/>
    <x v="2"/>
    <x v="1"/>
    <x v="2"/>
    <x v="14"/>
    <n v="8"/>
    <x v="14"/>
    <x v="1"/>
  </r>
  <r>
    <x v="1"/>
    <x v="5"/>
    <x v="2"/>
    <x v="1"/>
    <x v="2"/>
    <x v="15"/>
    <n v="6"/>
    <x v="15"/>
    <x v="1"/>
  </r>
  <r>
    <x v="1"/>
    <x v="5"/>
    <x v="2"/>
    <x v="1"/>
    <x v="2"/>
    <x v="16"/>
    <n v="5"/>
    <x v="16"/>
    <x v="1"/>
  </r>
  <r>
    <x v="1"/>
    <x v="5"/>
    <x v="2"/>
    <x v="1"/>
    <x v="2"/>
    <x v="17"/>
    <n v="4"/>
    <x v="17"/>
    <x v="0"/>
  </r>
  <r>
    <x v="1"/>
    <x v="5"/>
    <x v="2"/>
    <x v="1"/>
    <x v="2"/>
    <x v="18"/>
    <n v="4"/>
    <x v="18"/>
    <x v="0"/>
  </r>
  <r>
    <x v="1"/>
    <x v="5"/>
    <x v="2"/>
    <x v="1"/>
    <x v="2"/>
    <x v="19"/>
    <n v="6"/>
    <x v="19"/>
    <x v="0"/>
  </r>
  <r>
    <x v="1"/>
    <x v="5"/>
    <x v="2"/>
    <x v="2"/>
    <x v="0"/>
    <x v="0"/>
    <n v="0"/>
    <x v="0"/>
    <x v="0"/>
  </r>
  <r>
    <x v="1"/>
    <x v="5"/>
    <x v="2"/>
    <x v="2"/>
    <x v="0"/>
    <x v="1"/>
    <n v="2"/>
    <x v="1"/>
    <x v="0"/>
  </r>
  <r>
    <x v="1"/>
    <x v="5"/>
    <x v="2"/>
    <x v="2"/>
    <x v="0"/>
    <x v="2"/>
    <n v="1"/>
    <x v="2"/>
    <x v="0"/>
  </r>
  <r>
    <x v="1"/>
    <x v="5"/>
    <x v="2"/>
    <x v="2"/>
    <x v="0"/>
    <x v="3"/>
    <n v="0"/>
    <x v="3"/>
    <x v="1"/>
  </r>
  <r>
    <x v="1"/>
    <x v="5"/>
    <x v="2"/>
    <x v="2"/>
    <x v="0"/>
    <x v="4"/>
    <n v="1"/>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2"/>
    <x v="17"/>
    <x v="0"/>
  </r>
  <r>
    <x v="1"/>
    <x v="5"/>
    <x v="2"/>
    <x v="2"/>
    <x v="2"/>
    <x v="18"/>
    <n v="1"/>
    <x v="18"/>
    <x v="0"/>
  </r>
  <r>
    <x v="1"/>
    <x v="5"/>
    <x v="2"/>
    <x v="2"/>
    <x v="2"/>
    <x v="19"/>
    <n v="0"/>
    <x v="19"/>
    <x v="0"/>
  </r>
  <r>
    <x v="1"/>
    <x v="6"/>
    <x v="3"/>
    <x v="0"/>
    <x v="0"/>
    <x v="0"/>
    <n v="10"/>
    <x v="0"/>
    <x v="0"/>
  </r>
  <r>
    <x v="1"/>
    <x v="6"/>
    <x v="3"/>
    <x v="0"/>
    <x v="0"/>
    <x v="1"/>
    <n v="13"/>
    <x v="1"/>
    <x v="0"/>
  </r>
  <r>
    <x v="1"/>
    <x v="6"/>
    <x v="3"/>
    <x v="0"/>
    <x v="0"/>
    <x v="2"/>
    <n v="13"/>
    <x v="2"/>
    <x v="0"/>
  </r>
  <r>
    <x v="1"/>
    <x v="6"/>
    <x v="3"/>
    <x v="0"/>
    <x v="0"/>
    <x v="3"/>
    <n v="21"/>
    <x v="3"/>
    <x v="1"/>
  </r>
  <r>
    <x v="1"/>
    <x v="6"/>
    <x v="3"/>
    <x v="0"/>
    <x v="0"/>
    <x v="4"/>
    <n v="22"/>
    <x v="4"/>
    <x v="1"/>
  </r>
  <r>
    <x v="1"/>
    <x v="6"/>
    <x v="3"/>
    <x v="0"/>
    <x v="0"/>
    <x v="5"/>
    <n v="29"/>
    <x v="5"/>
    <x v="1"/>
  </r>
  <r>
    <x v="1"/>
    <x v="6"/>
    <x v="3"/>
    <x v="0"/>
    <x v="0"/>
    <x v="6"/>
    <n v="43"/>
    <x v="6"/>
    <x v="1"/>
  </r>
  <r>
    <x v="1"/>
    <x v="6"/>
    <x v="3"/>
    <x v="0"/>
    <x v="0"/>
    <x v="7"/>
    <n v="40"/>
    <x v="7"/>
    <x v="0"/>
  </r>
  <r>
    <x v="1"/>
    <x v="6"/>
    <x v="3"/>
    <x v="0"/>
    <x v="1"/>
    <x v="8"/>
    <n v="43"/>
    <x v="8"/>
    <x v="1"/>
  </r>
  <r>
    <x v="1"/>
    <x v="6"/>
    <x v="3"/>
    <x v="0"/>
    <x v="1"/>
    <x v="9"/>
    <n v="55"/>
    <x v="9"/>
    <x v="1"/>
  </r>
  <r>
    <x v="1"/>
    <x v="6"/>
    <x v="3"/>
    <x v="0"/>
    <x v="1"/>
    <x v="10"/>
    <n v="55"/>
    <x v="10"/>
    <x v="1"/>
  </r>
  <r>
    <x v="1"/>
    <x v="6"/>
    <x v="3"/>
    <x v="0"/>
    <x v="1"/>
    <x v="11"/>
    <n v="53"/>
    <x v="11"/>
    <x v="1"/>
  </r>
  <r>
    <x v="1"/>
    <x v="6"/>
    <x v="3"/>
    <x v="0"/>
    <x v="2"/>
    <x v="12"/>
    <n v="60"/>
    <x v="12"/>
    <x v="0"/>
  </r>
  <r>
    <x v="1"/>
    <x v="6"/>
    <x v="3"/>
    <x v="0"/>
    <x v="2"/>
    <x v="13"/>
    <n v="65"/>
    <x v="13"/>
    <x v="1"/>
  </r>
  <r>
    <x v="1"/>
    <x v="6"/>
    <x v="3"/>
    <x v="0"/>
    <x v="2"/>
    <x v="14"/>
    <n v="59"/>
    <x v="14"/>
    <x v="1"/>
  </r>
  <r>
    <x v="1"/>
    <x v="6"/>
    <x v="3"/>
    <x v="0"/>
    <x v="2"/>
    <x v="15"/>
    <n v="57"/>
    <x v="15"/>
    <x v="1"/>
  </r>
  <r>
    <x v="1"/>
    <x v="6"/>
    <x v="3"/>
    <x v="0"/>
    <x v="2"/>
    <x v="16"/>
    <n v="71"/>
    <x v="16"/>
    <x v="1"/>
  </r>
  <r>
    <x v="1"/>
    <x v="6"/>
    <x v="3"/>
    <x v="0"/>
    <x v="2"/>
    <x v="17"/>
    <n v="75"/>
    <x v="17"/>
    <x v="0"/>
  </r>
  <r>
    <x v="1"/>
    <x v="6"/>
    <x v="3"/>
    <x v="0"/>
    <x v="2"/>
    <x v="18"/>
    <n v="55"/>
    <x v="18"/>
    <x v="0"/>
  </r>
  <r>
    <x v="1"/>
    <x v="6"/>
    <x v="3"/>
    <x v="0"/>
    <x v="2"/>
    <x v="19"/>
    <n v="55"/>
    <x v="19"/>
    <x v="0"/>
  </r>
  <r>
    <x v="1"/>
    <x v="6"/>
    <x v="3"/>
    <x v="1"/>
    <x v="0"/>
    <x v="0"/>
    <n v="1"/>
    <x v="0"/>
    <x v="0"/>
  </r>
  <r>
    <x v="1"/>
    <x v="6"/>
    <x v="3"/>
    <x v="1"/>
    <x v="0"/>
    <x v="1"/>
    <n v="4"/>
    <x v="1"/>
    <x v="0"/>
  </r>
  <r>
    <x v="1"/>
    <x v="6"/>
    <x v="3"/>
    <x v="1"/>
    <x v="0"/>
    <x v="2"/>
    <n v="2"/>
    <x v="2"/>
    <x v="0"/>
  </r>
  <r>
    <x v="1"/>
    <x v="6"/>
    <x v="3"/>
    <x v="1"/>
    <x v="0"/>
    <x v="3"/>
    <n v="2"/>
    <x v="3"/>
    <x v="1"/>
  </r>
  <r>
    <x v="1"/>
    <x v="6"/>
    <x v="3"/>
    <x v="1"/>
    <x v="0"/>
    <x v="4"/>
    <n v="1"/>
    <x v="4"/>
    <x v="1"/>
  </r>
  <r>
    <x v="1"/>
    <x v="6"/>
    <x v="3"/>
    <x v="1"/>
    <x v="0"/>
    <x v="5"/>
    <n v="0"/>
    <x v="5"/>
    <x v="1"/>
  </r>
  <r>
    <x v="1"/>
    <x v="6"/>
    <x v="3"/>
    <x v="1"/>
    <x v="0"/>
    <x v="6"/>
    <n v="2"/>
    <x v="6"/>
    <x v="1"/>
  </r>
  <r>
    <x v="1"/>
    <x v="6"/>
    <x v="3"/>
    <x v="1"/>
    <x v="0"/>
    <x v="7"/>
    <n v="2"/>
    <x v="7"/>
    <x v="0"/>
  </r>
  <r>
    <x v="1"/>
    <x v="6"/>
    <x v="3"/>
    <x v="1"/>
    <x v="1"/>
    <x v="8"/>
    <n v="5"/>
    <x v="8"/>
    <x v="1"/>
  </r>
  <r>
    <x v="1"/>
    <x v="6"/>
    <x v="3"/>
    <x v="1"/>
    <x v="1"/>
    <x v="9"/>
    <n v="0"/>
    <x v="9"/>
    <x v="1"/>
  </r>
  <r>
    <x v="1"/>
    <x v="6"/>
    <x v="3"/>
    <x v="1"/>
    <x v="1"/>
    <x v="10"/>
    <n v="1"/>
    <x v="10"/>
    <x v="1"/>
  </r>
  <r>
    <x v="1"/>
    <x v="6"/>
    <x v="3"/>
    <x v="1"/>
    <x v="1"/>
    <x v="11"/>
    <n v="1"/>
    <x v="11"/>
    <x v="1"/>
  </r>
  <r>
    <x v="1"/>
    <x v="6"/>
    <x v="3"/>
    <x v="1"/>
    <x v="2"/>
    <x v="12"/>
    <n v="2"/>
    <x v="12"/>
    <x v="0"/>
  </r>
  <r>
    <x v="1"/>
    <x v="6"/>
    <x v="3"/>
    <x v="1"/>
    <x v="2"/>
    <x v="13"/>
    <n v="0"/>
    <x v="13"/>
    <x v="1"/>
  </r>
  <r>
    <x v="1"/>
    <x v="6"/>
    <x v="3"/>
    <x v="1"/>
    <x v="2"/>
    <x v="14"/>
    <n v="0"/>
    <x v="14"/>
    <x v="1"/>
  </r>
  <r>
    <x v="1"/>
    <x v="6"/>
    <x v="3"/>
    <x v="1"/>
    <x v="2"/>
    <x v="15"/>
    <n v="2"/>
    <x v="15"/>
    <x v="1"/>
  </r>
  <r>
    <x v="1"/>
    <x v="6"/>
    <x v="3"/>
    <x v="1"/>
    <x v="2"/>
    <x v="16"/>
    <n v="2"/>
    <x v="16"/>
    <x v="1"/>
  </r>
  <r>
    <x v="1"/>
    <x v="6"/>
    <x v="3"/>
    <x v="1"/>
    <x v="2"/>
    <x v="17"/>
    <n v="0"/>
    <x v="17"/>
    <x v="0"/>
  </r>
  <r>
    <x v="1"/>
    <x v="6"/>
    <x v="3"/>
    <x v="1"/>
    <x v="2"/>
    <x v="18"/>
    <n v="2"/>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1"/>
    <x v="3"/>
    <x v="1"/>
  </r>
  <r>
    <x v="1"/>
    <x v="3"/>
    <x v="0"/>
    <x v="0"/>
    <x v="0"/>
    <x v="4"/>
    <n v="1"/>
    <x v="4"/>
    <x v="1"/>
  </r>
  <r>
    <x v="1"/>
    <x v="3"/>
    <x v="0"/>
    <x v="0"/>
    <x v="0"/>
    <x v="5"/>
    <n v="1"/>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1"/>
  </r>
  <r>
    <x v="1"/>
    <x v="3"/>
    <x v="0"/>
    <x v="0"/>
    <x v="2"/>
    <x v="14"/>
    <n v="1"/>
    <x v="14"/>
    <x v="1"/>
  </r>
  <r>
    <x v="1"/>
    <x v="3"/>
    <x v="0"/>
    <x v="0"/>
    <x v="2"/>
    <x v="15"/>
    <n v="0"/>
    <x v="15"/>
    <x v="1"/>
  </r>
  <r>
    <x v="1"/>
    <x v="3"/>
    <x v="0"/>
    <x v="0"/>
    <x v="2"/>
    <x v="16"/>
    <n v="0"/>
    <x v="16"/>
    <x v="1"/>
  </r>
  <r>
    <x v="1"/>
    <x v="3"/>
    <x v="0"/>
    <x v="0"/>
    <x v="2"/>
    <x v="17"/>
    <n v="1"/>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74"/>
    <x v="0"/>
    <x v="0"/>
  </r>
  <r>
    <x v="2"/>
    <x v="7"/>
    <x v="2"/>
    <x v="0"/>
    <x v="0"/>
    <x v="1"/>
    <n v="118"/>
    <x v="1"/>
    <x v="0"/>
  </r>
  <r>
    <x v="2"/>
    <x v="7"/>
    <x v="2"/>
    <x v="0"/>
    <x v="0"/>
    <x v="2"/>
    <n v="112"/>
    <x v="2"/>
    <x v="0"/>
  </r>
  <r>
    <x v="2"/>
    <x v="7"/>
    <x v="2"/>
    <x v="0"/>
    <x v="0"/>
    <x v="3"/>
    <n v="116"/>
    <x v="3"/>
    <x v="1"/>
  </r>
  <r>
    <x v="2"/>
    <x v="7"/>
    <x v="2"/>
    <x v="0"/>
    <x v="0"/>
    <x v="4"/>
    <n v="129"/>
    <x v="4"/>
    <x v="1"/>
  </r>
  <r>
    <x v="2"/>
    <x v="7"/>
    <x v="2"/>
    <x v="0"/>
    <x v="0"/>
    <x v="5"/>
    <n v="119"/>
    <x v="5"/>
    <x v="1"/>
  </r>
  <r>
    <x v="2"/>
    <x v="7"/>
    <x v="2"/>
    <x v="0"/>
    <x v="0"/>
    <x v="6"/>
    <n v="112"/>
    <x v="6"/>
    <x v="1"/>
  </r>
  <r>
    <x v="2"/>
    <x v="7"/>
    <x v="2"/>
    <x v="0"/>
    <x v="0"/>
    <x v="7"/>
    <n v="98"/>
    <x v="7"/>
    <x v="0"/>
  </r>
  <r>
    <x v="2"/>
    <x v="7"/>
    <x v="2"/>
    <x v="0"/>
    <x v="1"/>
    <x v="8"/>
    <n v="83"/>
    <x v="8"/>
    <x v="1"/>
  </r>
  <r>
    <x v="2"/>
    <x v="7"/>
    <x v="2"/>
    <x v="0"/>
    <x v="1"/>
    <x v="9"/>
    <n v="87"/>
    <x v="9"/>
    <x v="1"/>
  </r>
  <r>
    <x v="2"/>
    <x v="7"/>
    <x v="2"/>
    <x v="0"/>
    <x v="1"/>
    <x v="10"/>
    <n v="85"/>
    <x v="10"/>
    <x v="1"/>
  </r>
  <r>
    <x v="2"/>
    <x v="7"/>
    <x v="2"/>
    <x v="0"/>
    <x v="1"/>
    <x v="11"/>
    <n v="80"/>
    <x v="11"/>
    <x v="1"/>
  </r>
  <r>
    <x v="2"/>
    <x v="7"/>
    <x v="2"/>
    <x v="0"/>
    <x v="2"/>
    <x v="12"/>
    <n v="63"/>
    <x v="12"/>
    <x v="0"/>
  </r>
  <r>
    <x v="2"/>
    <x v="7"/>
    <x v="2"/>
    <x v="0"/>
    <x v="2"/>
    <x v="13"/>
    <n v="102"/>
    <x v="13"/>
    <x v="1"/>
  </r>
  <r>
    <x v="2"/>
    <x v="7"/>
    <x v="2"/>
    <x v="0"/>
    <x v="2"/>
    <x v="14"/>
    <n v="78"/>
    <x v="14"/>
    <x v="1"/>
  </r>
  <r>
    <x v="2"/>
    <x v="7"/>
    <x v="2"/>
    <x v="0"/>
    <x v="2"/>
    <x v="15"/>
    <n v="72"/>
    <x v="15"/>
    <x v="1"/>
  </r>
  <r>
    <x v="2"/>
    <x v="7"/>
    <x v="2"/>
    <x v="0"/>
    <x v="2"/>
    <x v="16"/>
    <n v="69"/>
    <x v="16"/>
    <x v="1"/>
  </r>
  <r>
    <x v="2"/>
    <x v="7"/>
    <x v="2"/>
    <x v="0"/>
    <x v="2"/>
    <x v="17"/>
    <n v="60"/>
    <x v="17"/>
    <x v="0"/>
  </r>
  <r>
    <x v="2"/>
    <x v="7"/>
    <x v="2"/>
    <x v="0"/>
    <x v="2"/>
    <x v="18"/>
    <n v="67"/>
    <x v="18"/>
    <x v="0"/>
  </r>
  <r>
    <x v="2"/>
    <x v="7"/>
    <x v="2"/>
    <x v="0"/>
    <x v="2"/>
    <x v="19"/>
    <n v="63"/>
    <x v="19"/>
    <x v="0"/>
  </r>
  <r>
    <x v="2"/>
    <x v="7"/>
    <x v="2"/>
    <x v="1"/>
    <x v="0"/>
    <x v="0"/>
    <n v="11"/>
    <x v="0"/>
    <x v="0"/>
  </r>
  <r>
    <x v="2"/>
    <x v="7"/>
    <x v="2"/>
    <x v="1"/>
    <x v="0"/>
    <x v="1"/>
    <n v="9"/>
    <x v="1"/>
    <x v="0"/>
  </r>
  <r>
    <x v="2"/>
    <x v="7"/>
    <x v="2"/>
    <x v="1"/>
    <x v="0"/>
    <x v="2"/>
    <n v="10"/>
    <x v="2"/>
    <x v="0"/>
  </r>
  <r>
    <x v="2"/>
    <x v="7"/>
    <x v="2"/>
    <x v="1"/>
    <x v="0"/>
    <x v="3"/>
    <n v="9"/>
    <x v="3"/>
    <x v="1"/>
  </r>
  <r>
    <x v="2"/>
    <x v="7"/>
    <x v="2"/>
    <x v="1"/>
    <x v="0"/>
    <x v="4"/>
    <n v="15"/>
    <x v="4"/>
    <x v="1"/>
  </r>
  <r>
    <x v="2"/>
    <x v="7"/>
    <x v="2"/>
    <x v="1"/>
    <x v="0"/>
    <x v="5"/>
    <n v="12"/>
    <x v="5"/>
    <x v="1"/>
  </r>
  <r>
    <x v="2"/>
    <x v="7"/>
    <x v="2"/>
    <x v="1"/>
    <x v="0"/>
    <x v="6"/>
    <n v="11"/>
    <x v="6"/>
    <x v="1"/>
  </r>
  <r>
    <x v="2"/>
    <x v="7"/>
    <x v="2"/>
    <x v="1"/>
    <x v="0"/>
    <x v="7"/>
    <n v="15"/>
    <x v="7"/>
    <x v="0"/>
  </r>
  <r>
    <x v="2"/>
    <x v="7"/>
    <x v="2"/>
    <x v="1"/>
    <x v="1"/>
    <x v="8"/>
    <n v="12"/>
    <x v="8"/>
    <x v="1"/>
  </r>
  <r>
    <x v="2"/>
    <x v="7"/>
    <x v="2"/>
    <x v="1"/>
    <x v="1"/>
    <x v="9"/>
    <n v="9"/>
    <x v="9"/>
    <x v="1"/>
  </r>
  <r>
    <x v="2"/>
    <x v="7"/>
    <x v="2"/>
    <x v="1"/>
    <x v="1"/>
    <x v="10"/>
    <n v="11"/>
    <x v="10"/>
    <x v="1"/>
  </r>
  <r>
    <x v="2"/>
    <x v="7"/>
    <x v="2"/>
    <x v="1"/>
    <x v="1"/>
    <x v="11"/>
    <n v="6"/>
    <x v="11"/>
    <x v="1"/>
  </r>
  <r>
    <x v="2"/>
    <x v="7"/>
    <x v="2"/>
    <x v="1"/>
    <x v="2"/>
    <x v="12"/>
    <n v="14"/>
    <x v="12"/>
    <x v="0"/>
  </r>
  <r>
    <x v="2"/>
    <x v="7"/>
    <x v="2"/>
    <x v="1"/>
    <x v="2"/>
    <x v="13"/>
    <n v="6"/>
    <x v="13"/>
    <x v="1"/>
  </r>
  <r>
    <x v="2"/>
    <x v="7"/>
    <x v="2"/>
    <x v="1"/>
    <x v="2"/>
    <x v="14"/>
    <n v="9"/>
    <x v="14"/>
    <x v="1"/>
  </r>
  <r>
    <x v="2"/>
    <x v="7"/>
    <x v="2"/>
    <x v="1"/>
    <x v="2"/>
    <x v="15"/>
    <n v="4"/>
    <x v="15"/>
    <x v="1"/>
  </r>
  <r>
    <x v="2"/>
    <x v="7"/>
    <x v="2"/>
    <x v="1"/>
    <x v="2"/>
    <x v="16"/>
    <n v="8"/>
    <x v="16"/>
    <x v="1"/>
  </r>
  <r>
    <x v="2"/>
    <x v="7"/>
    <x v="2"/>
    <x v="1"/>
    <x v="2"/>
    <x v="17"/>
    <n v="8"/>
    <x v="17"/>
    <x v="0"/>
  </r>
  <r>
    <x v="2"/>
    <x v="7"/>
    <x v="2"/>
    <x v="1"/>
    <x v="2"/>
    <x v="18"/>
    <n v="6"/>
    <x v="18"/>
    <x v="0"/>
  </r>
  <r>
    <x v="2"/>
    <x v="7"/>
    <x v="2"/>
    <x v="1"/>
    <x v="2"/>
    <x v="19"/>
    <n v="3"/>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174"/>
    <x v="0"/>
    <x v="0"/>
  </r>
  <r>
    <x v="2"/>
    <x v="8"/>
    <x v="3"/>
    <x v="0"/>
    <x v="0"/>
    <x v="1"/>
    <n v="209"/>
    <x v="1"/>
    <x v="0"/>
  </r>
  <r>
    <x v="2"/>
    <x v="8"/>
    <x v="3"/>
    <x v="0"/>
    <x v="0"/>
    <x v="2"/>
    <n v="287"/>
    <x v="2"/>
    <x v="0"/>
  </r>
  <r>
    <x v="2"/>
    <x v="8"/>
    <x v="3"/>
    <x v="0"/>
    <x v="0"/>
    <x v="3"/>
    <n v="265"/>
    <x v="3"/>
    <x v="1"/>
  </r>
  <r>
    <x v="2"/>
    <x v="8"/>
    <x v="3"/>
    <x v="0"/>
    <x v="0"/>
    <x v="4"/>
    <n v="308"/>
    <x v="4"/>
    <x v="1"/>
  </r>
  <r>
    <x v="2"/>
    <x v="8"/>
    <x v="3"/>
    <x v="0"/>
    <x v="0"/>
    <x v="5"/>
    <n v="325"/>
    <x v="5"/>
    <x v="1"/>
  </r>
  <r>
    <x v="2"/>
    <x v="8"/>
    <x v="3"/>
    <x v="0"/>
    <x v="0"/>
    <x v="6"/>
    <n v="305"/>
    <x v="6"/>
    <x v="1"/>
  </r>
  <r>
    <x v="2"/>
    <x v="8"/>
    <x v="3"/>
    <x v="0"/>
    <x v="0"/>
    <x v="7"/>
    <n v="253"/>
    <x v="7"/>
    <x v="0"/>
  </r>
  <r>
    <x v="2"/>
    <x v="8"/>
    <x v="3"/>
    <x v="0"/>
    <x v="1"/>
    <x v="8"/>
    <n v="240"/>
    <x v="8"/>
    <x v="1"/>
  </r>
  <r>
    <x v="2"/>
    <x v="8"/>
    <x v="3"/>
    <x v="0"/>
    <x v="1"/>
    <x v="9"/>
    <n v="206"/>
    <x v="9"/>
    <x v="1"/>
  </r>
  <r>
    <x v="2"/>
    <x v="8"/>
    <x v="3"/>
    <x v="0"/>
    <x v="1"/>
    <x v="10"/>
    <n v="265"/>
    <x v="10"/>
    <x v="1"/>
  </r>
  <r>
    <x v="2"/>
    <x v="8"/>
    <x v="3"/>
    <x v="0"/>
    <x v="1"/>
    <x v="11"/>
    <n v="246"/>
    <x v="11"/>
    <x v="1"/>
  </r>
  <r>
    <x v="2"/>
    <x v="8"/>
    <x v="3"/>
    <x v="0"/>
    <x v="2"/>
    <x v="12"/>
    <n v="333"/>
    <x v="12"/>
    <x v="0"/>
  </r>
  <r>
    <x v="2"/>
    <x v="8"/>
    <x v="3"/>
    <x v="0"/>
    <x v="2"/>
    <x v="13"/>
    <n v="307"/>
    <x v="13"/>
    <x v="1"/>
  </r>
  <r>
    <x v="2"/>
    <x v="8"/>
    <x v="3"/>
    <x v="0"/>
    <x v="2"/>
    <x v="14"/>
    <n v="301"/>
    <x v="14"/>
    <x v="1"/>
  </r>
  <r>
    <x v="2"/>
    <x v="8"/>
    <x v="3"/>
    <x v="0"/>
    <x v="2"/>
    <x v="15"/>
    <n v="294"/>
    <x v="15"/>
    <x v="1"/>
  </r>
  <r>
    <x v="2"/>
    <x v="8"/>
    <x v="3"/>
    <x v="0"/>
    <x v="2"/>
    <x v="16"/>
    <n v="353"/>
    <x v="16"/>
    <x v="1"/>
  </r>
  <r>
    <x v="2"/>
    <x v="8"/>
    <x v="3"/>
    <x v="0"/>
    <x v="2"/>
    <x v="17"/>
    <n v="278"/>
    <x v="17"/>
    <x v="0"/>
  </r>
  <r>
    <x v="2"/>
    <x v="8"/>
    <x v="3"/>
    <x v="0"/>
    <x v="2"/>
    <x v="18"/>
    <n v="305"/>
    <x v="18"/>
    <x v="0"/>
  </r>
  <r>
    <x v="2"/>
    <x v="8"/>
    <x v="3"/>
    <x v="0"/>
    <x v="2"/>
    <x v="19"/>
    <n v="253"/>
    <x v="19"/>
    <x v="0"/>
  </r>
  <r>
    <x v="2"/>
    <x v="8"/>
    <x v="3"/>
    <x v="1"/>
    <x v="0"/>
    <x v="0"/>
    <n v="8"/>
    <x v="0"/>
    <x v="0"/>
  </r>
  <r>
    <x v="2"/>
    <x v="8"/>
    <x v="3"/>
    <x v="1"/>
    <x v="0"/>
    <x v="1"/>
    <n v="9"/>
    <x v="1"/>
    <x v="0"/>
  </r>
  <r>
    <x v="2"/>
    <x v="8"/>
    <x v="3"/>
    <x v="1"/>
    <x v="0"/>
    <x v="2"/>
    <n v="12"/>
    <x v="2"/>
    <x v="0"/>
  </r>
  <r>
    <x v="2"/>
    <x v="8"/>
    <x v="3"/>
    <x v="1"/>
    <x v="0"/>
    <x v="3"/>
    <n v="9"/>
    <x v="3"/>
    <x v="1"/>
  </r>
  <r>
    <x v="2"/>
    <x v="8"/>
    <x v="3"/>
    <x v="1"/>
    <x v="0"/>
    <x v="4"/>
    <n v="18"/>
    <x v="4"/>
    <x v="1"/>
  </r>
  <r>
    <x v="2"/>
    <x v="8"/>
    <x v="3"/>
    <x v="1"/>
    <x v="0"/>
    <x v="5"/>
    <n v="13"/>
    <x v="5"/>
    <x v="1"/>
  </r>
  <r>
    <x v="2"/>
    <x v="8"/>
    <x v="3"/>
    <x v="1"/>
    <x v="0"/>
    <x v="6"/>
    <n v="14"/>
    <x v="6"/>
    <x v="1"/>
  </r>
  <r>
    <x v="2"/>
    <x v="8"/>
    <x v="3"/>
    <x v="1"/>
    <x v="0"/>
    <x v="7"/>
    <n v="9"/>
    <x v="7"/>
    <x v="0"/>
  </r>
  <r>
    <x v="2"/>
    <x v="8"/>
    <x v="3"/>
    <x v="1"/>
    <x v="1"/>
    <x v="8"/>
    <n v="8"/>
    <x v="8"/>
    <x v="1"/>
  </r>
  <r>
    <x v="2"/>
    <x v="8"/>
    <x v="3"/>
    <x v="1"/>
    <x v="1"/>
    <x v="9"/>
    <n v="10"/>
    <x v="9"/>
    <x v="1"/>
  </r>
  <r>
    <x v="2"/>
    <x v="8"/>
    <x v="3"/>
    <x v="1"/>
    <x v="1"/>
    <x v="10"/>
    <n v="11"/>
    <x v="10"/>
    <x v="1"/>
  </r>
  <r>
    <x v="2"/>
    <x v="8"/>
    <x v="3"/>
    <x v="1"/>
    <x v="1"/>
    <x v="11"/>
    <n v="13"/>
    <x v="11"/>
    <x v="1"/>
  </r>
  <r>
    <x v="2"/>
    <x v="8"/>
    <x v="3"/>
    <x v="1"/>
    <x v="2"/>
    <x v="12"/>
    <n v="8"/>
    <x v="12"/>
    <x v="0"/>
  </r>
  <r>
    <x v="2"/>
    <x v="8"/>
    <x v="3"/>
    <x v="1"/>
    <x v="2"/>
    <x v="13"/>
    <n v="10"/>
    <x v="13"/>
    <x v="1"/>
  </r>
  <r>
    <x v="2"/>
    <x v="8"/>
    <x v="3"/>
    <x v="1"/>
    <x v="2"/>
    <x v="14"/>
    <n v="12"/>
    <x v="14"/>
    <x v="1"/>
  </r>
  <r>
    <x v="2"/>
    <x v="8"/>
    <x v="3"/>
    <x v="1"/>
    <x v="2"/>
    <x v="15"/>
    <n v="8"/>
    <x v="15"/>
    <x v="1"/>
  </r>
  <r>
    <x v="2"/>
    <x v="8"/>
    <x v="3"/>
    <x v="1"/>
    <x v="2"/>
    <x v="16"/>
    <n v="6"/>
    <x v="16"/>
    <x v="1"/>
  </r>
  <r>
    <x v="2"/>
    <x v="8"/>
    <x v="3"/>
    <x v="1"/>
    <x v="2"/>
    <x v="17"/>
    <n v="6"/>
    <x v="17"/>
    <x v="0"/>
  </r>
  <r>
    <x v="2"/>
    <x v="8"/>
    <x v="3"/>
    <x v="1"/>
    <x v="2"/>
    <x v="18"/>
    <n v="5"/>
    <x v="18"/>
    <x v="0"/>
  </r>
  <r>
    <x v="2"/>
    <x v="8"/>
    <x v="3"/>
    <x v="1"/>
    <x v="2"/>
    <x v="19"/>
    <n v="3"/>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28"/>
    <x v="0"/>
    <x v="0"/>
  </r>
  <r>
    <x v="2"/>
    <x v="9"/>
    <x v="0"/>
    <x v="0"/>
    <x v="0"/>
    <x v="1"/>
    <n v="46"/>
    <x v="1"/>
    <x v="0"/>
  </r>
  <r>
    <x v="2"/>
    <x v="9"/>
    <x v="0"/>
    <x v="0"/>
    <x v="0"/>
    <x v="2"/>
    <n v="59"/>
    <x v="2"/>
    <x v="0"/>
  </r>
  <r>
    <x v="2"/>
    <x v="9"/>
    <x v="0"/>
    <x v="0"/>
    <x v="0"/>
    <x v="3"/>
    <n v="82"/>
    <x v="3"/>
    <x v="1"/>
  </r>
  <r>
    <x v="2"/>
    <x v="9"/>
    <x v="0"/>
    <x v="0"/>
    <x v="0"/>
    <x v="4"/>
    <n v="93"/>
    <x v="4"/>
    <x v="1"/>
  </r>
  <r>
    <x v="2"/>
    <x v="9"/>
    <x v="0"/>
    <x v="0"/>
    <x v="0"/>
    <x v="5"/>
    <n v="80"/>
    <x v="5"/>
    <x v="1"/>
  </r>
  <r>
    <x v="2"/>
    <x v="9"/>
    <x v="0"/>
    <x v="0"/>
    <x v="0"/>
    <x v="6"/>
    <n v="89"/>
    <x v="6"/>
    <x v="1"/>
  </r>
  <r>
    <x v="2"/>
    <x v="9"/>
    <x v="0"/>
    <x v="0"/>
    <x v="0"/>
    <x v="7"/>
    <n v="69"/>
    <x v="7"/>
    <x v="0"/>
  </r>
  <r>
    <x v="2"/>
    <x v="9"/>
    <x v="0"/>
    <x v="0"/>
    <x v="1"/>
    <x v="8"/>
    <n v="59"/>
    <x v="8"/>
    <x v="1"/>
  </r>
  <r>
    <x v="2"/>
    <x v="9"/>
    <x v="0"/>
    <x v="0"/>
    <x v="1"/>
    <x v="9"/>
    <n v="65"/>
    <x v="9"/>
    <x v="1"/>
  </r>
  <r>
    <x v="2"/>
    <x v="9"/>
    <x v="0"/>
    <x v="0"/>
    <x v="1"/>
    <x v="10"/>
    <n v="52"/>
    <x v="10"/>
    <x v="1"/>
  </r>
  <r>
    <x v="2"/>
    <x v="9"/>
    <x v="0"/>
    <x v="0"/>
    <x v="1"/>
    <x v="11"/>
    <n v="51"/>
    <x v="11"/>
    <x v="1"/>
  </r>
  <r>
    <x v="2"/>
    <x v="9"/>
    <x v="0"/>
    <x v="0"/>
    <x v="2"/>
    <x v="12"/>
    <n v="55"/>
    <x v="12"/>
    <x v="0"/>
  </r>
  <r>
    <x v="2"/>
    <x v="9"/>
    <x v="0"/>
    <x v="0"/>
    <x v="2"/>
    <x v="13"/>
    <n v="57"/>
    <x v="13"/>
    <x v="1"/>
  </r>
  <r>
    <x v="2"/>
    <x v="9"/>
    <x v="0"/>
    <x v="0"/>
    <x v="2"/>
    <x v="14"/>
    <n v="63"/>
    <x v="14"/>
    <x v="1"/>
  </r>
  <r>
    <x v="2"/>
    <x v="9"/>
    <x v="0"/>
    <x v="0"/>
    <x v="2"/>
    <x v="15"/>
    <n v="44"/>
    <x v="15"/>
    <x v="1"/>
  </r>
  <r>
    <x v="2"/>
    <x v="9"/>
    <x v="0"/>
    <x v="0"/>
    <x v="2"/>
    <x v="16"/>
    <n v="51"/>
    <x v="16"/>
    <x v="1"/>
  </r>
  <r>
    <x v="2"/>
    <x v="9"/>
    <x v="0"/>
    <x v="0"/>
    <x v="2"/>
    <x v="17"/>
    <n v="43"/>
    <x v="17"/>
    <x v="0"/>
  </r>
  <r>
    <x v="2"/>
    <x v="9"/>
    <x v="0"/>
    <x v="0"/>
    <x v="2"/>
    <x v="18"/>
    <n v="43"/>
    <x v="18"/>
    <x v="0"/>
  </r>
  <r>
    <x v="2"/>
    <x v="9"/>
    <x v="0"/>
    <x v="0"/>
    <x v="2"/>
    <x v="19"/>
    <n v="49"/>
    <x v="19"/>
    <x v="0"/>
  </r>
  <r>
    <x v="2"/>
    <x v="9"/>
    <x v="0"/>
    <x v="1"/>
    <x v="0"/>
    <x v="0"/>
    <n v="4"/>
    <x v="0"/>
    <x v="0"/>
  </r>
  <r>
    <x v="2"/>
    <x v="9"/>
    <x v="0"/>
    <x v="1"/>
    <x v="0"/>
    <x v="1"/>
    <n v="7"/>
    <x v="1"/>
    <x v="0"/>
  </r>
  <r>
    <x v="2"/>
    <x v="9"/>
    <x v="0"/>
    <x v="1"/>
    <x v="0"/>
    <x v="2"/>
    <n v="3"/>
    <x v="2"/>
    <x v="0"/>
  </r>
  <r>
    <x v="2"/>
    <x v="9"/>
    <x v="0"/>
    <x v="1"/>
    <x v="0"/>
    <x v="3"/>
    <n v="8"/>
    <x v="3"/>
    <x v="1"/>
  </r>
  <r>
    <x v="2"/>
    <x v="9"/>
    <x v="0"/>
    <x v="1"/>
    <x v="0"/>
    <x v="4"/>
    <n v="4"/>
    <x v="4"/>
    <x v="1"/>
  </r>
  <r>
    <x v="2"/>
    <x v="9"/>
    <x v="0"/>
    <x v="1"/>
    <x v="0"/>
    <x v="5"/>
    <n v="2"/>
    <x v="5"/>
    <x v="1"/>
  </r>
  <r>
    <x v="2"/>
    <x v="9"/>
    <x v="0"/>
    <x v="1"/>
    <x v="0"/>
    <x v="6"/>
    <n v="2"/>
    <x v="6"/>
    <x v="1"/>
  </r>
  <r>
    <x v="2"/>
    <x v="9"/>
    <x v="0"/>
    <x v="1"/>
    <x v="0"/>
    <x v="7"/>
    <n v="9"/>
    <x v="7"/>
    <x v="0"/>
  </r>
  <r>
    <x v="2"/>
    <x v="9"/>
    <x v="0"/>
    <x v="1"/>
    <x v="1"/>
    <x v="8"/>
    <n v="2"/>
    <x v="8"/>
    <x v="1"/>
  </r>
  <r>
    <x v="2"/>
    <x v="9"/>
    <x v="0"/>
    <x v="1"/>
    <x v="1"/>
    <x v="9"/>
    <n v="1"/>
    <x v="9"/>
    <x v="1"/>
  </r>
  <r>
    <x v="2"/>
    <x v="9"/>
    <x v="0"/>
    <x v="1"/>
    <x v="1"/>
    <x v="10"/>
    <n v="1"/>
    <x v="10"/>
    <x v="1"/>
  </r>
  <r>
    <x v="2"/>
    <x v="9"/>
    <x v="0"/>
    <x v="1"/>
    <x v="1"/>
    <x v="11"/>
    <n v="0"/>
    <x v="11"/>
    <x v="1"/>
  </r>
  <r>
    <x v="2"/>
    <x v="9"/>
    <x v="0"/>
    <x v="1"/>
    <x v="2"/>
    <x v="12"/>
    <n v="2"/>
    <x v="12"/>
    <x v="0"/>
  </r>
  <r>
    <x v="2"/>
    <x v="9"/>
    <x v="0"/>
    <x v="1"/>
    <x v="2"/>
    <x v="13"/>
    <n v="1"/>
    <x v="13"/>
    <x v="1"/>
  </r>
  <r>
    <x v="2"/>
    <x v="9"/>
    <x v="0"/>
    <x v="1"/>
    <x v="2"/>
    <x v="14"/>
    <n v="0"/>
    <x v="14"/>
    <x v="1"/>
  </r>
  <r>
    <x v="2"/>
    <x v="9"/>
    <x v="0"/>
    <x v="1"/>
    <x v="2"/>
    <x v="15"/>
    <n v="1"/>
    <x v="15"/>
    <x v="1"/>
  </r>
  <r>
    <x v="2"/>
    <x v="9"/>
    <x v="0"/>
    <x v="1"/>
    <x v="2"/>
    <x v="16"/>
    <n v="4"/>
    <x v="16"/>
    <x v="1"/>
  </r>
  <r>
    <x v="2"/>
    <x v="9"/>
    <x v="0"/>
    <x v="1"/>
    <x v="2"/>
    <x v="17"/>
    <n v="2"/>
    <x v="17"/>
    <x v="0"/>
  </r>
  <r>
    <x v="2"/>
    <x v="9"/>
    <x v="0"/>
    <x v="1"/>
    <x v="2"/>
    <x v="18"/>
    <n v="1"/>
    <x v="18"/>
    <x v="0"/>
  </r>
  <r>
    <x v="2"/>
    <x v="9"/>
    <x v="0"/>
    <x v="1"/>
    <x v="2"/>
    <x v="19"/>
    <n v="1"/>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1"/>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1"/>
    <x v="10"/>
    <x v="1"/>
  </r>
  <r>
    <x v="2"/>
    <x v="3"/>
    <x v="1"/>
    <x v="0"/>
    <x v="1"/>
    <x v="11"/>
    <n v="1"/>
    <x v="11"/>
    <x v="1"/>
  </r>
  <r>
    <x v="2"/>
    <x v="3"/>
    <x v="1"/>
    <x v="0"/>
    <x v="2"/>
    <x v="12"/>
    <n v="0"/>
    <x v="12"/>
    <x v="0"/>
  </r>
  <r>
    <x v="2"/>
    <x v="3"/>
    <x v="1"/>
    <x v="0"/>
    <x v="2"/>
    <x v="13"/>
    <n v="0"/>
    <x v="13"/>
    <x v="1"/>
  </r>
  <r>
    <x v="2"/>
    <x v="3"/>
    <x v="1"/>
    <x v="0"/>
    <x v="2"/>
    <x v="14"/>
    <n v="0"/>
    <x v="14"/>
    <x v="1"/>
  </r>
  <r>
    <x v="2"/>
    <x v="3"/>
    <x v="1"/>
    <x v="0"/>
    <x v="2"/>
    <x v="15"/>
    <n v="0"/>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3"/>
    <x v="0"/>
    <x v="0"/>
  </r>
  <r>
    <x v="3"/>
    <x v="10"/>
    <x v="3"/>
    <x v="0"/>
    <x v="0"/>
    <x v="1"/>
    <n v="5"/>
    <x v="1"/>
    <x v="0"/>
  </r>
  <r>
    <x v="3"/>
    <x v="10"/>
    <x v="3"/>
    <x v="0"/>
    <x v="0"/>
    <x v="2"/>
    <n v="6"/>
    <x v="2"/>
    <x v="0"/>
  </r>
  <r>
    <x v="3"/>
    <x v="10"/>
    <x v="3"/>
    <x v="0"/>
    <x v="0"/>
    <x v="3"/>
    <n v="13"/>
    <x v="3"/>
    <x v="1"/>
  </r>
  <r>
    <x v="3"/>
    <x v="10"/>
    <x v="3"/>
    <x v="0"/>
    <x v="0"/>
    <x v="4"/>
    <n v="10"/>
    <x v="4"/>
    <x v="1"/>
  </r>
  <r>
    <x v="3"/>
    <x v="10"/>
    <x v="3"/>
    <x v="0"/>
    <x v="0"/>
    <x v="5"/>
    <n v="14"/>
    <x v="5"/>
    <x v="1"/>
  </r>
  <r>
    <x v="3"/>
    <x v="10"/>
    <x v="3"/>
    <x v="0"/>
    <x v="0"/>
    <x v="6"/>
    <n v="18"/>
    <x v="6"/>
    <x v="1"/>
  </r>
  <r>
    <x v="3"/>
    <x v="10"/>
    <x v="3"/>
    <x v="0"/>
    <x v="0"/>
    <x v="7"/>
    <n v="11"/>
    <x v="7"/>
    <x v="0"/>
  </r>
  <r>
    <x v="3"/>
    <x v="10"/>
    <x v="3"/>
    <x v="0"/>
    <x v="1"/>
    <x v="8"/>
    <n v="17"/>
    <x v="8"/>
    <x v="1"/>
  </r>
  <r>
    <x v="3"/>
    <x v="10"/>
    <x v="3"/>
    <x v="0"/>
    <x v="1"/>
    <x v="9"/>
    <n v="16"/>
    <x v="9"/>
    <x v="1"/>
  </r>
  <r>
    <x v="3"/>
    <x v="10"/>
    <x v="3"/>
    <x v="0"/>
    <x v="1"/>
    <x v="10"/>
    <n v="15"/>
    <x v="10"/>
    <x v="1"/>
  </r>
  <r>
    <x v="3"/>
    <x v="10"/>
    <x v="3"/>
    <x v="0"/>
    <x v="1"/>
    <x v="11"/>
    <n v="19"/>
    <x v="11"/>
    <x v="1"/>
  </r>
  <r>
    <x v="3"/>
    <x v="10"/>
    <x v="3"/>
    <x v="0"/>
    <x v="2"/>
    <x v="12"/>
    <n v="18"/>
    <x v="12"/>
    <x v="0"/>
  </r>
  <r>
    <x v="3"/>
    <x v="10"/>
    <x v="3"/>
    <x v="0"/>
    <x v="2"/>
    <x v="13"/>
    <n v="21"/>
    <x v="13"/>
    <x v="1"/>
  </r>
  <r>
    <x v="3"/>
    <x v="10"/>
    <x v="3"/>
    <x v="0"/>
    <x v="2"/>
    <x v="14"/>
    <n v="30"/>
    <x v="14"/>
    <x v="1"/>
  </r>
  <r>
    <x v="3"/>
    <x v="10"/>
    <x v="3"/>
    <x v="0"/>
    <x v="2"/>
    <x v="15"/>
    <n v="20"/>
    <x v="15"/>
    <x v="1"/>
  </r>
  <r>
    <x v="3"/>
    <x v="10"/>
    <x v="3"/>
    <x v="0"/>
    <x v="2"/>
    <x v="16"/>
    <n v="21"/>
    <x v="16"/>
    <x v="1"/>
  </r>
  <r>
    <x v="3"/>
    <x v="10"/>
    <x v="3"/>
    <x v="0"/>
    <x v="2"/>
    <x v="17"/>
    <n v="18"/>
    <x v="17"/>
    <x v="0"/>
  </r>
  <r>
    <x v="3"/>
    <x v="10"/>
    <x v="3"/>
    <x v="0"/>
    <x v="2"/>
    <x v="18"/>
    <n v="6"/>
    <x v="18"/>
    <x v="0"/>
  </r>
  <r>
    <x v="3"/>
    <x v="10"/>
    <x v="3"/>
    <x v="0"/>
    <x v="2"/>
    <x v="19"/>
    <n v="4"/>
    <x v="19"/>
    <x v="0"/>
  </r>
  <r>
    <x v="3"/>
    <x v="10"/>
    <x v="3"/>
    <x v="1"/>
    <x v="0"/>
    <x v="0"/>
    <n v="2"/>
    <x v="0"/>
    <x v="0"/>
  </r>
  <r>
    <x v="3"/>
    <x v="10"/>
    <x v="3"/>
    <x v="1"/>
    <x v="0"/>
    <x v="1"/>
    <n v="0"/>
    <x v="1"/>
    <x v="0"/>
  </r>
  <r>
    <x v="3"/>
    <x v="10"/>
    <x v="3"/>
    <x v="1"/>
    <x v="0"/>
    <x v="2"/>
    <n v="1"/>
    <x v="2"/>
    <x v="0"/>
  </r>
  <r>
    <x v="3"/>
    <x v="10"/>
    <x v="3"/>
    <x v="1"/>
    <x v="0"/>
    <x v="3"/>
    <n v="1"/>
    <x v="3"/>
    <x v="1"/>
  </r>
  <r>
    <x v="3"/>
    <x v="10"/>
    <x v="3"/>
    <x v="1"/>
    <x v="0"/>
    <x v="4"/>
    <n v="0"/>
    <x v="4"/>
    <x v="1"/>
  </r>
  <r>
    <x v="3"/>
    <x v="10"/>
    <x v="3"/>
    <x v="1"/>
    <x v="0"/>
    <x v="5"/>
    <n v="0"/>
    <x v="5"/>
    <x v="1"/>
  </r>
  <r>
    <x v="3"/>
    <x v="10"/>
    <x v="3"/>
    <x v="1"/>
    <x v="0"/>
    <x v="6"/>
    <n v="3"/>
    <x v="6"/>
    <x v="1"/>
  </r>
  <r>
    <x v="3"/>
    <x v="10"/>
    <x v="3"/>
    <x v="1"/>
    <x v="0"/>
    <x v="7"/>
    <n v="2"/>
    <x v="7"/>
    <x v="0"/>
  </r>
  <r>
    <x v="3"/>
    <x v="10"/>
    <x v="3"/>
    <x v="1"/>
    <x v="1"/>
    <x v="8"/>
    <n v="0"/>
    <x v="8"/>
    <x v="1"/>
  </r>
  <r>
    <x v="3"/>
    <x v="10"/>
    <x v="3"/>
    <x v="1"/>
    <x v="1"/>
    <x v="9"/>
    <n v="0"/>
    <x v="9"/>
    <x v="1"/>
  </r>
  <r>
    <x v="3"/>
    <x v="10"/>
    <x v="3"/>
    <x v="1"/>
    <x v="1"/>
    <x v="10"/>
    <n v="1"/>
    <x v="10"/>
    <x v="1"/>
  </r>
  <r>
    <x v="3"/>
    <x v="10"/>
    <x v="3"/>
    <x v="1"/>
    <x v="1"/>
    <x v="11"/>
    <n v="1"/>
    <x v="11"/>
    <x v="1"/>
  </r>
  <r>
    <x v="3"/>
    <x v="10"/>
    <x v="3"/>
    <x v="1"/>
    <x v="2"/>
    <x v="12"/>
    <n v="2"/>
    <x v="12"/>
    <x v="0"/>
  </r>
  <r>
    <x v="3"/>
    <x v="10"/>
    <x v="3"/>
    <x v="1"/>
    <x v="2"/>
    <x v="13"/>
    <n v="0"/>
    <x v="13"/>
    <x v="1"/>
  </r>
  <r>
    <x v="3"/>
    <x v="10"/>
    <x v="3"/>
    <x v="1"/>
    <x v="2"/>
    <x v="14"/>
    <n v="0"/>
    <x v="14"/>
    <x v="1"/>
  </r>
  <r>
    <x v="3"/>
    <x v="10"/>
    <x v="3"/>
    <x v="1"/>
    <x v="2"/>
    <x v="15"/>
    <n v="2"/>
    <x v="15"/>
    <x v="1"/>
  </r>
  <r>
    <x v="3"/>
    <x v="10"/>
    <x v="3"/>
    <x v="1"/>
    <x v="2"/>
    <x v="16"/>
    <n v="1"/>
    <x v="16"/>
    <x v="1"/>
  </r>
  <r>
    <x v="3"/>
    <x v="10"/>
    <x v="3"/>
    <x v="1"/>
    <x v="2"/>
    <x v="17"/>
    <n v="1"/>
    <x v="17"/>
    <x v="0"/>
  </r>
  <r>
    <x v="3"/>
    <x v="10"/>
    <x v="3"/>
    <x v="1"/>
    <x v="2"/>
    <x v="18"/>
    <n v="0"/>
    <x v="18"/>
    <x v="0"/>
  </r>
  <r>
    <x v="3"/>
    <x v="10"/>
    <x v="3"/>
    <x v="1"/>
    <x v="2"/>
    <x v="19"/>
    <n v="1"/>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116"/>
    <x v="0"/>
    <x v="0"/>
  </r>
  <r>
    <x v="3"/>
    <x v="11"/>
    <x v="0"/>
    <x v="0"/>
    <x v="0"/>
    <x v="1"/>
    <n v="131"/>
    <x v="1"/>
    <x v="0"/>
  </r>
  <r>
    <x v="3"/>
    <x v="11"/>
    <x v="0"/>
    <x v="0"/>
    <x v="0"/>
    <x v="2"/>
    <n v="174"/>
    <x v="2"/>
    <x v="0"/>
  </r>
  <r>
    <x v="3"/>
    <x v="11"/>
    <x v="0"/>
    <x v="0"/>
    <x v="0"/>
    <x v="3"/>
    <n v="181"/>
    <x v="3"/>
    <x v="1"/>
  </r>
  <r>
    <x v="3"/>
    <x v="11"/>
    <x v="0"/>
    <x v="0"/>
    <x v="0"/>
    <x v="4"/>
    <n v="173"/>
    <x v="4"/>
    <x v="1"/>
  </r>
  <r>
    <x v="3"/>
    <x v="11"/>
    <x v="0"/>
    <x v="0"/>
    <x v="0"/>
    <x v="5"/>
    <n v="177"/>
    <x v="5"/>
    <x v="1"/>
  </r>
  <r>
    <x v="3"/>
    <x v="11"/>
    <x v="0"/>
    <x v="0"/>
    <x v="0"/>
    <x v="6"/>
    <n v="178"/>
    <x v="6"/>
    <x v="1"/>
  </r>
  <r>
    <x v="3"/>
    <x v="11"/>
    <x v="0"/>
    <x v="0"/>
    <x v="0"/>
    <x v="7"/>
    <n v="148"/>
    <x v="7"/>
    <x v="0"/>
  </r>
  <r>
    <x v="3"/>
    <x v="11"/>
    <x v="0"/>
    <x v="0"/>
    <x v="1"/>
    <x v="8"/>
    <n v="166"/>
    <x v="8"/>
    <x v="1"/>
  </r>
  <r>
    <x v="3"/>
    <x v="11"/>
    <x v="0"/>
    <x v="0"/>
    <x v="1"/>
    <x v="9"/>
    <n v="142"/>
    <x v="9"/>
    <x v="1"/>
  </r>
  <r>
    <x v="3"/>
    <x v="11"/>
    <x v="0"/>
    <x v="0"/>
    <x v="1"/>
    <x v="10"/>
    <n v="174"/>
    <x v="10"/>
    <x v="1"/>
  </r>
  <r>
    <x v="3"/>
    <x v="11"/>
    <x v="0"/>
    <x v="0"/>
    <x v="1"/>
    <x v="11"/>
    <n v="178"/>
    <x v="11"/>
    <x v="1"/>
  </r>
  <r>
    <x v="3"/>
    <x v="11"/>
    <x v="0"/>
    <x v="0"/>
    <x v="2"/>
    <x v="12"/>
    <n v="160"/>
    <x v="12"/>
    <x v="0"/>
  </r>
  <r>
    <x v="3"/>
    <x v="11"/>
    <x v="0"/>
    <x v="0"/>
    <x v="2"/>
    <x v="13"/>
    <n v="156"/>
    <x v="13"/>
    <x v="1"/>
  </r>
  <r>
    <x v="3"/>
    <x v="11"/>
    <x v="0"/>
    <x v="0"/>
    <x v="2"/>
    <x v="14"/>
    <n v="182"/>
    <x v="14"/>
    <x v="1"/>
  </r>
  <r>
    <x v="3"/>
    <x v="11"/>
    <x v="0"/>
    <x v="0"/>
    <x v="2"/>
    <x v="15"/>
    <n v="205"/>
    <x v="15"/>
    <x v="1"/>
  </r>
  <r>
    <x v="3"/>
    <x v="11"/>
    <x v="0"/>
    <x v="0"/>
    <x v="2"/>
    <x v="16"/>
    <n v="178"/>
    <x v="16"/>
    <x v="1"/>
  </r>
  <r>
    <x v="3"/>
    <x v="11"/>
    <x v="0"/>
    <x v="0"/>
    <x v="2"/>
    <x v="17"/>
    <n v="200"/>
    <x v="17"/>
    <x v="0"/>
  </r>
  <r>
    <x v="3"/>
    <x v="11"/>
    <x v="0"/>
    <x v="0"/>
    <x v="2"/>
    <x v="18"/>
    <n v="129"/>
    <x v="18"/>
    <x v="0"/>
  </r>
  <r>
    <x v="3"/>
    <x v="11"/>
    <x v="0"/>
    <x v="0"/>
    <x v="2"/>
    <x v="19"/>
    <n v="96"/>
    <x v="19"/>
    <x v="0"/>
  </r>
  <r>
    <x v="3"/>
    <x v="11"/>
    <x v="0"/>
    <x v="1"/>
    <x v="0"/>
    <x v="0"/>
    <n v="9"/>
    <x v="0"/>
    <x v="0"/>
  </r>
  <r>
    <x v="3"/>
    <x v="11"/>
    <x v="0"/>
    <x v="1"/>
    <x v="0"/>
    <x v="1"/>
    <n v="9"/>
    <x v="1"/>
    <x v="0"/>
  </r>
  <r>
    <x v="3"/>
    <x v="11"/>
    <x v="0"/>
    <x v="1"/>
    <x v="0"/>
    <x v="2"/>
    <n v="14"/>
    <x v="2"/>
    <x v="0"/>
  </r>
  <r>
    <x v="3"/>
    <x v="11"/>
    <x v="0"/>
    <x v="1"/>
    <x v="0"/>
    <x v="3"/>
    <n v="10"/>
    <x v="3"/>
    <x v="1"/>
  </r>
  <r>
    <x v="3"/>
    <x v="11"/>
    <x v="0"/>
    <x v="1"/>
    <x v="0"/>
    <x v="4"/>
    <n v="10"/>
    <x v="4"/>
    <x v="1"/>
  </r>
  <r>
    <x v="3"/>
    <x v="11"/>
    <x v="0"/>
    <x v="1"/>
    <x v="0"/>
    <x v="5"/>
    <n v="7"/>
    <x v="5"/>
    <x v="1"/>
  </r>
  <r>
    <x v="3"/>
    <x v="11"/>
    <x v="0"/>
    <x v="1"/>
    <x v="0"/>
    <x v="6"/>
    <n v="8"/>
    <x v="6"/>
    <x v="1"/>
  </r>
  <r>
    <x v="3"/>
    <x v="11"/>
    <x v="0"/>
    <x v="1"/>
    <x v="0"/>
    <x v="7"/>
    <n v="8"/>
    <x v="7"/>
    <x v="0"/>
  </r>
  <r>
    <x v="3"/>
    <x v="11"/>
    <x v="0"/>
    <x v="1"/>
    <x v="1"/>
    <x v="8"/>
    <n v="5"/>
    <x v="8"/>
    <x v="1"/>
  </r>
  <r>
    <x v="3"/>
    <x v="11"/>
    <x v="0"/>
    <x v="1"/>
    <x v="1"/>
    <x v="9"/>
    <n v="8"/>
    <x v="9"/>
    <x v="1"/>
  </r>
  <r>
    <x v="3"/>
    <x v="11"/>
    <x v="0"/>
    <x v="1"/>
    <x v="1"/>
    <x v="10"/>
    <n v="7"/>
    <x v="10"/>
    <x v="1"/>
  </r>
  <r>
    <x v="3"/>
    <x v="11"/>
    <x v="0"/>
    <x v="1"/>
    <x v="1"/>
    <x v="11"/>
    <n v="8"/>
    <x v="11"/>
    <x v="1"/>
  </r>
  <r>
    <x v="3"/>
    <x v="11"/>
    <x v="0"/>
    <x v="1"/>
    <x v="2"/>
    <x v="12"/>
    <n v="7"/>
    <x v="12"/>
    <x v="0"/>
  </r>
  <r>
    <x v="3"/>
    <x v="11"/>
    <x v="0"/>
    <x v="1"/>
    <x v="2"/>
    <x v="13"/>
    <n v="11"/>
    <x v="13"/>
    <x v="1"/>
  </r>
  <r>
    <x v="3"/>
    <x v="11"/>
    <x v="0"/>
    <x v="1"/>
    <x v="2"/>
    <x v="14"/>
    <n v="3"/>
    <x v="14"/>
    <x v="1"/>
  </r>
  <r>
    <x v="3"/>
    <x v="11"/>
    <x v="0"/>
    <x v="1"/>
    <x v="2"/>
    <x v="15"/>
    <n v="2"/>
    <x v="15"/>
    <x v="1"/>
  </r>
  <r>
    <x v="3"/>
    <x v="11"/>
    <x v="0"/>
    <x v="1"/>
    <x v="2"/>
    <x v="16"/>
    <n v="3"/>
    <x v="16"/>
    <x v="1"/>
  </r>
  <r>
    <x v="3"/>
    <x v="11"/>
    <x v="0"/>
    <x v="1"/>
    <x v="2"/>
    <x v="17"/>
    <n v="2"/>
    <x v="17"/>
    <x v="0"/>
  </r>
  <r>
    <x v="3"/>
    <x v="11"/>
    <x v="0"/>
    <x v="1"/>
    <x v="2"/>
    <x v="18"/>
    <n v="3"/>
    <x v="18"/>
    <x v="0"/>
  </r>
  <r>
    <x v="3"/>
    <x v="11"/>
    <x v="0"/>
    <x v="1"/>
    <x v="2"/>
    <x v="19"/>
    <n v="3"/>
    <x v="19"/>
    <x v="0"/>
  </r>
  <r>
    <x v="3"/>
    <x v="11"/>
    <x v="0"/>
    <x v="2"/>
    <x v="0"/>
    <x v="0"/>
    <n v="1"/>
    <x v="0"/>
    <x v="0"/>
  </r>
  <r>
    <x v="3"/>
    <x v="11"/>
    <x v="0"/>
    <x v="2"/>
    <x v="0"/>
    <x v="1"/>
    <n v="0"/>
    <x v="1"/>
    <x v="0"/>
  </r>
  <r>
    <x v="3"/>
    <x v="11"/>
    <x v="0"/>
    <x v="2"/>
    <x v="0"/>
    <x v="2"/>
    <n v="1"/>
    <x v="2"/>
    <x v="0"/>
  </r>
  <r>
    <x v="3"/>
    <x v="11"/>
    <x v="0"/>
    <x v="2"/>
    <x v="0"/>
    <x v="3"/>
    <n v="0"/>
    <x v="3"/>
    <x v="1"/>
  </r>
  <r>
    <x v="3"/>
    <x v="11"/>
    <x v="0"/>
    <x v="2"/>
    <x v="0"/>
    <x v="4"/>
    <n v="0"/>
    <x v="4"/>
    <x v="1"/>
  </r>
  <r>
    <x v="3"/>
    <x v="11"/>
    <x v="0"/>
    <x v="2"/>
    <x v="0"/>
    <x v="5"/>
    <n v="1"/>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53"/>
    <x v="0"/>
    <x v="0"/>
  </r>
  <r>
    <x v="3"/>
    <x v="12"/>
    <x v="1"/>
    <x v="0"/>
    <x v="0"/>
    <x v="1"/>
    <n v="67"/>
    <x v="1"/>
    <x v="0"/>
  </r>
  <r>
    <x v="3"/>
    <x v="12"/>
    <x v="1"/>
    <x v="0"/>
    <x v="0"/>
    <x v="2"/>
    <n v="63"/>
    <x v="2"/>
    <x v="0"/>
  </r>
  <r>
    <x v="3"/>
    <x v="12"/>
    <x v="1"/>
    <x v="0"/>
    <x v="0"/>
    <x v="3"/>
    <n v="60"/>
    <x v="3"/>
    <x v="1"/>
  </r>
  <r>
    <x v="3"/>
    <x v="12"/>
    <x v="1"/>
    <x v="0"/>
    <x v="0"/>
    <x v="4"/>
    <n v="58"/>
    <x v="4"/>
    <x v="1"/>
  </r>
  <r>
    <x v="3"/>
    <x v="12"/>
    <x v="1"/>
    <x v="0"/>
    <x v="0"/>
    <x v="5"/>
    <n v="84"/>
    <x v="5"/>
    <x v="1"/>
  </r>
  <r>
    <x v="3"/>
    <x v="12"/>
    <x v="1"/>
    <x v="0"/>
    <x v="0"/>
    <x v="6"/>
    <n v="64"/>
    <x v="6"/>
    <x v="1"/>
  </r>
  <r>
    <x v="3"/>
    <x v="12"/>
    <x v="1"/>
    <x v="0"/>
    <x v="0"/>
    <x v="7"/>
    <n v="70"/>
    <x v="7"/>
    <x v="0"/>
  </r>
  <r>
    <x v="3"/>
    <x v="12"/>
    <x v="1"/>
    <x v="0"/>
    <x v="1"/>
    <x v="8"/>
    <n v="84"/>
    <x v="8"/>
    <x v="1"/>
  </r>
  <r>
    <x v="3"/>
    <x v="12"/>
    <x v="1"/>
    <x v="0"/>
    <x v="1"/>
    <x v="9"/>
    <n v="80"/>
    <x v="9"/>
    <x v="1"/>
  </r>
  <r>
    <x v="3"/>
    <x v="12"/>
    <x v="1"/>
    <x v="0"/>
    <x v="1"/>
    <x v="10"/>
    <n v="79"/>
    <x v="10"/>
    <x v="1"/>
  </r>
  <r>
    <x v="3"/>
    <x v="12"/>
    <x v="1"/>
    <x v="0"/>
    <x v="1"/>
    <x v="11"/>
    <n v="84"/>
    <x v="11"/>
    <x v="1"/>
  </r>
  <r>
    <x v="3"/>
    <x v="12"/>
    <x v="1"/>
    <x v="0"/>
    <x v="2"/>
    <x v="12"/>
    <n v="105"/>
    <x v="12"/>
    <x v="0"/>
  </r>
  <r>
    <x v="3"/>
    <x v="12"/>
    <x v="1"/>
    <x v="0"/>
    <x v="2"/>
    <x v="13"/>
    <n v="117"/>
    <x v="13"/>
    <x v="1"/>
  </r>
  <r>
    <x v="3"/>
    <x v="12"/>
    <x v="1"/>
    <x v="0"/>
    <x v="2"/>
    <x v="14"/>
    <n v="113"/>
    <x v="14"/>
    <x v="1"/>
  </r>
  <r>
    <x v="3"/>
    <x v="12"/>
    <x v="1"/>
    <x v="0"/>
    <x v="2"/>
    <x v="15"/>
    <n v="120"/>
    <x v="15"/>
    <x v="1"/>
  </r>
  <r>
    <x v="3"/>
    <x v="12"/>
    <x v="1"/>
    <x v="0"/>
    <x v="2"/>
    <x v="16"/>
    <n v="147"/>
    <x v="16"/>
    <x v="1"/>
  </r>
  <r>
    <x v="3"/>
    <x v="12"/>
    <x v="1"/>
    <x v="0"/>
    <x v="2"/>
    <x v="17"/>
    <n v="128"/>
    <x v="17"/>
    <x v="0"/>
  </r>
  <r>
    <x v="3"/>
    <x v="12"/>
    <x v="1"/>
    <x v="0"/>
    <x v="2"/>
    <x v="18"/>
    <n v="87"/>
    <x v="18"/>
    <x v="0"/>
  </r>
  <r>
    <x v="3"/>
    <x v="12"/>
    <x v="1"/>
    <x v="0"/>
    <x v="2"/>
    <x v="19"/>
    <n v="65"/>
    <x v="19"/>
    <x v="0"/>
  </r>
  <r>
    <x v="3"/>
    <x v="12"/>
    <x v="1"/>
    <x v="1"/>
    <x v="0"/>
    <x v="0"/>
    <n v="8"/>
    <x v="0"/>
    <x v="0"/>
  </r>
  <r>
    <x v="3"/>
    <x v="12"/>
    <x v="1"/>
    <x v="1"/>
    <x v="0"/>
    <x v="1"/>
    <n v="7"/>
    <x v="1"/>
    <x v="0"/>
  </r>
  <r>
    <x v="3"/>
    <x v="12"/>
    <x v="1"/>
    <x v="1"/>
    <x v="0"/>
    <x v="2"/>
    <n v="5"/>
    <x v="2"/>
    <x v="0"/>
  </r>
  <r>
    <x v="3"/>
    <x v="12"/>
    <x v="1"/>
    <x v="1"/>
    <x v="0"/>
    <x v="3"/>
    <n v="7"/>
    <x v="3"/>
    <x v="1"/>
  </r>
  <r>
    <x v="3"/>
    <x v="12"/>
    <x v="1"/>
    <x v="1"/>
    <x v="0"/>
    <x v="4"/>
    <n v="8"/>
    <x v="4"/>
    <x v="1"/>
  </r>
  <r>
    <x v="3"/>
    <x v="12"/>
    <x v="1"/>
    <x v="1"/>
    <x v="0"/>
    <x v="5"/>
    <n v="7"/>
    <x v="5"/>
    <x v="1"/>
  </r>
  <r>
    <x v="3"/>
    <x v="12"/>
    <x v="1"/>
    <x v="1"/>
    <x v="0"/>
    <x v="6"/>
    <n v="9"/>
    <x v="6"/>
    <x v="1"/>
  </r>
  <r>
    <x v="3"/>
    <x v="12"/>
    <x v="1"/>
    <x v="1"/>
    <x v="0"/>
    <x v="7"/>
    <n v="12"/>
    <x v="7"/>
    <x v="0"/>
  </r>
  <r>
    <x v="3"/>
    <x v="12"/>
    <x v="1"/>
    <x v="1"/>
    <x v="1"/>
    <x v="8"/>
    <n v="4"/>
    <x v="8"/>
    <x v="1"/>
  </r>
  <r>
    <x v="3"/>
    <x v="12"/>
    <x v="1"/>
    <x v="1"/>
    <x v="1"/>
    <x v="9"/>
    <n v="7"/>
    <x v="9"/>
    <x v="1"/>
  </r>
  <r>
    <x v="3"/>
    <x v="12"/>
    <x v="1"/>
    <x v="1"/>
    <x v="1"/>
    <x v="10"/>
    <n v="10"/>
    <x v="10"/>
    <x v="1"/>
  </r>
  <r>
    <x v="3"/>
    <x v="12"/>
    <x v="1"/>
    <x v="1"/>
    <x v="1"/>
    <x v="11"/>
    <n v="8"/>
    <x v="11"/>
    <x v="1"/>
  </r>
  <r>
    <x v="3"/>
    <x v="12"/>
    <x v="1"/>
    <x v="1"/>
    <x v="2"/>
    <x v="12"/>
    <n v="6"/>
    <x v="12"/>
    <x v="0"/>
  </r>
  <r>
    <x v="3"/>
    <x v="12"/>
    <x v="1"/>
    <x v="1"/>
    <x v="2"/>
    <x v="13"/>
    <n v="4"/>
    <x v="13"/>
    <x v="1"/>
  </r>
  <r>
    <x v="3"/>
    <x v="12"/>
    <x v="1"/>
    <x v="1"/>
    <x v="2"/>
    <x v="14"/>
    <n v="6"/>
    <x v="14"/>
    <x v="1"/>
  </r>
  <r>
    <x v="3"/>
    <x v="12"/>
    <x v="1"/>
    <x v="1"/>
    <x v="2"/>
    <x v="15"/>
    <n v="3"/>
    <x v="15"/>
    <x v="1"/>
  </r>
  <r>
    <x v="3"/>
    <x v="12"/>
    <x v="1"/>
    <x v="1"/>
    <x v="2"/>
    <x v="16"/>
    <n v="5"/>
    <x v="16"/>
    <x v="1"/>
  </r>
  <r>
    <x v="3"/>
    <x v="12"/>
    <x v="1"/>
    <x v="1"/>
    <x v="2"/>
    <x v="17"/>
    <n v="2"/>
    <x v="17"/>
    <x v="0"/>
  </r>
  <r>
    <x v="3"/>
    <x v="12"/>
    <x v="1"/>
    <x v="1"/>
    <x v="2"/>
    <x v="18"/>
    <n v="1"/>
    <x v="18"/>
    <x v="0"/>
  </r>
  <r>
    <x v="3"/>
    <x v="12"/>
    <x v="1"/>
    <x v="1"/>
    <x v="2"/>
    <x v="19"/>
    <n v="4"/>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1"/>
  </r>
  <r>
    <x v="3"/>
    <x v="3"/>
    <x v="2"/>
    <x v="0"/>
    <x v="0"/>
    <x v="4"/>
    <n v="0"/>
    <x v="4"/>
    <x v="1"/>
  </r>
  <r>
    <x v="3"/>
    <x v="3"/>
    <x v="2"/>
    <x v="0"/>
    <x v="0"/>
    <x v="5"/>
    <n v="1"/>
    <x v="5"/>
    <x v="1"/>
  </r>
  <r>
    <x v="3"/>
    <x v="3"/>
    <x v="2"/>
    <x v="0"/>
    <x v="0"/>
    <x v="6"/>
    <n v="0"/>
    <x v="6"/>
    <x v="1"/>
  </r>
  <r>
    <x v="3"/>
    <x v="3"/>
    <x v="2"/>
    <x v="0"/>
    <x v="0"/>
    <x v="7"/>
    <n v="0"/>
    <x v="7"/>
    <x v="0"/>
  </r>
  <r>
    <x v="3"/>
    <x v="3"/>
    <x v="2"/>
    <x v="0"/>
    <x v="1"/>
    <x v="8"/>
    <n v="0"/>
    <x v="8"/>
    <x v="1"/>
  </r>
  <r>
    <x v="3"/>
    <x v="3"/>
    <x v="2"/>
    <x v="0"/>
    <x v="1"/>
    <x v="9"/>
    <n v="1"/>
    <x v="9"/>
    <x v="1"/>
  </r>
  <r>
    <x v="3"/>
    <x v="3"/>
    <x v="2"/>
    <x v="0"/>
    <x v="1"/>
    <x v="10"/>
    <n v="0"/>
    <x v="10"/>
    <x v="1"/>
  </r>
  <r>
    <x v="3"/>
    <x v="3"/>
    <x v="2"/>
    <x v="0"/>
    <x v="1"/>
    <x v="11"/>
    <n v="1"/>
    <x v="11"/>
    <x v="1"/>
  </r>
  <r>
    <x v="3"/>
    <x v="3"/>
    <x v="2"/>
    <x v="0"/>
    <x v="2"/>
    <x v="12"/>
    <n v="0"/>
    <x v="12"/>
    <x v="0"/>
  </r>
  <r>
    <x v="3"/>
    <x v="3"/>
    <x v="2"/>
    <x v="0"/>
    <x v="2"/>
    <x v="13"/>
    <n v="0"/>
    <x v="13"/>
    <x v="1"/>
  </r>
  <r>
    <x v="3"/>
    <x v="3"/>
    <x v="2"/>
    <x v="0"/>
    <x v="2"/>
    <x v="14"/>
    <n v="0"/>
    <x v="14"/>
    <x v="1"/>
  </r>
  <r>
    <x v="3"/>
    <x v="3"/>
    <x v="2"/>
    <x v="0"/>
    <x v="2"/>
    <x v="15"/>
    <n v="0"/>
    <x v="15"/>
    <x v="1"/>
  </r>
  <r>
    <x v="3"/>
    <x v="3"/>
    <x v="2"/>
    <x v="0"/>
    <x v="2"/>
    <x v="16"/>
    <n v="0"/>
    <x v="16"/>
    <x v="1"/>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4"/>
        <item m="1" x="5"/>
        <item m="1" x="6"/>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3"/>
        <item m="1" x="5"/>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4"/>
        <item m="1" x="5"/>
        <item m="1" x="6"/>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6">
      <pivotArea outline="0" collapsedLevelsAreSubtotals="1" fieldPosition="0"/>
    </format>
    <format dxfId="5">
      <pivotArea dataOnly="0" labelOnly="1" fieldPosition="0">
        <references count="1">
          <reference field="0" count="0"/>
        </references>
      </pivotArea>
    </format>
    <format dxfId="4">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8">
      <pivotArea outline="0" collapsedLevelsAreSubtotals="1" fieldPosition="0"/>
    </format>
    <format dxfId="7">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4"/>
        <item m="1" x="5"/>
        <item m="1" x="7"/>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1">
      <pivotArea outline="0" collapsedLevelsAreSubtotals="1" fieldPosition="0"/>
    </format>
    <format dxfId="10">
      <pivotArea dataOnly="0" labelOnly="1" fieldPosition="0">
        <references count="1">
          <reference field="2" count="0"/>
        </references>
      </pivotArea>
    </format>
    <format dxfId="9">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4"/>
        <item m="1" x="5"/>
        <item m="1" x="6"/>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3"/>
        <item m="1" x="5"/>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8" sqref="E5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100</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100</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100</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100</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Curletts Road North</v>
      </c>
      <c r="C4" s="1" t="str">
        <f>Input!C31</f>
        <v>Blenheim Road East</v>
      </c>
      <c r="D4" s="1" t="str">
        <f>Input!C42</f>
        <v>Curletts Road South</v>
      </c>
      <c r="E4" s="1" t="str">
        <f>Input!C53</f>
        <v>Blenheim Road West</v>
      </c>
      <c r="F4" s="1">
        <f>Input!C64</f>
        <v>0</v>
      </c>
      <c r="G4" s="1">
        <f>Input!C75</f>
        <v>0</v>
      </c>
      <c r="H4" s="1">
        <f>Input!C86</f>
        <v>0</v>
      </c>
    </row>
    <row r="6" spans="2:8" x14ac:dyDescent="0.25">
      <c r="B6" t="s">
        <v>18</v>
      </c>
    </row>
    <row r="8" spans="2:8" x14ac:dyDescent="0.25">
      <c r="B8" s="1" t="str">
        <f>Input!C22</f>
        <v>Left into Blenheim Road East</v>
      </c>
      <c r="C8" s="1" t="str">
        <f>Input!C33</f>
        <v>Left into Curletts Road South</v>
      </c>
      <c r="D8" s="1" t="str">
        <f>Input!C44</f>
        <v>Left into Blenheim Road West</v>
      </c>
      <c r="E8" s="1" t="str">
        <f>Input!C55</f>
        <v>Left into Curletts Road North</v>
      </c>
      <c r="F8" s="1">
        <f>Input!C66</f>
        <v>0</v>
      </c>
      <c r="G8" s="1">
        <f>Input!C77</f>
        <v>0</v>
      </c>
      <c r="H8" s="1">
        <f>Input!C88</f>
        <v>0</v>
      </c>
    </row>
    <row r="9" spans="2:8" x14ac:dyDescent="0.25">
      <c r="B9" s="1" t="str">
        <f>Input!C23</f>
        <v>Thru to Curletts Road South</v>
      </c>
      <c r="C9" s="1" t="str">
        <f>Input!C34</f>
        <v>Thru to Blenheim Road West</v>
      </c>
      <c r="D9" s="1" t="str">
        <f>Input!C45</f>
        <v>Thru to Curletts Road North</v>
      </c>
      <c r="E9" s="1" t="str">
        <f>Input!C56</f>
        <v>Thru to Blenheim Road East</v>
      </c>
      <c r="F9" s="1">
        <f>Input!C67</f>
        <v>0</v>
      </c>
      <c r="G9" s="1">
        <f>Input!C78</f>
        <v>0</v>
      </c>
      <c r="H9" s="1">
        <f>Input!C89</f>
        <v>0</v>
      </c>
    </row>
    <row r="10" spans="2:8" x14ac:dyDescent="0.25">
      <c r="B10" s="1" t="str">
        <f>Input!C24</f>
        <v>Right into Blenheim Road West</v>
      </c>
      <c r="C10" s="1" t="str">
        <f>Input!C35</f>
        <v>Right into Curletts Road North</v>
      </c>
      <c r="D10" s="1" t="str">
        <f>Input!C46</f>
        <v>Right into Blenheim Road East</v>
      </c>
      <c r="E10" s="1" t="str">
        <f>Input!C57</f>
        <v>Right into Curletts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Blenheim Road East</v>
      </c>
      <c r="C18" s="1" t="str">
        <f>Input!E33</f>
        <v>Curletts Road South</v>
      </c>
      <c r="D18" s="1" t="str">
        <f>Input!E44</f>
        <v>Blenheim Road West</v>
      </c>
      <c r="E18" s="1" t="str">
        <f>Input!E55</f>
        <v>Curletts Road North</v>
      </c>
      <c r="F18" s="1">
        <f>Input!E66</f>
        <v>0</v>
      </c>
      <c r="G18" s="1">
        <f>Input!E77</f>
        <v>0</v>
      </c>
      <c r="H18" s="1">
        <f>Input!E88</f>
        <v>0</v>
      </c>
    </row>
    <row r="19" spans="2:8" x14ac:dyDescent="0.25">
      <c r="B19" s="1" t="str">
        <f>Input!E23</f>
        <v>Curletts Road South</v>
      </c>
      <c r="C19" s="1" t="str">
        <f>Input!E34</f>
        <v>Blenheim Road West</v>
      </c>
      <c r="D19" s="1" t="str">
        <f>Input!E45</f>
        <v>Curletts Road North</v>
      </c>
      <c r="E19" s="1" t="str">
        <f>Input!E56</f>
        <v>Blenheim Road East</v>
      </c>
      <c r="F19" s="1">
        <f>Input!E67</f>
        <v>0</v>
      </c>
      <c r="G19" s="1">
        <f>Input!E78</f>
        <v>0</v>
      </c>
      <c r="H19" s="1">
        <f>Input!E89</f>
        <v>0</v>
      </c>
    </row>
    <row r="20" spans="2:8" x14ac:dyDescent="0.25">
      <c r="B20" s="1" t="str">
        <f>Input!E24</f>
        <v>Blenheim Road West</v>
      </c>
      <c r="C20" s="1" t="str">
        <f>Input!E35</f>
        <v>Curletts Road North</v>
      </c>
      <c r="D20" s="1" t="str">
        <f>Input!E46</f>
        <v>Blenheim Road East</v>
      </c>
      <c r="E20" s="1" t="str">
        <f>Input!E57</f>
        <v>Curletts Road South</v>
      </c>
      <c r="F20" s="1">
        <f>Input!E68</f>
        <v>0</v>
      </c>
      <c r="G20" s="1">
        <f>Input!E79</f>
        <v>0</v>
      </c>
      <c r="H20" s="1">
        <f>Input!E90</f>
        <v>0</v>
      </c>
    </row>
    <row r="21" spans="2:8" x14ac:dyDescent="0.25">
      <c r="B21" s="1" t="str">
        <f>Input!E25</f>
        <v>Curletts Road North</v>
      </c>
      <c r="C21" s="1" t="str">
        <f>Input!E36</f>
        <v>Blenheim Road East</v>
      </c>
      <c r="D21" s="1" t="str">
        <f>Input!E47</f>
        <v>Curletts Road South</v>
      </c>
      <c r="E21" s="1" t="str">
        <f>Input!E58</f>
        <v>Blenheim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97</v>
      </c>
      <c r="D6" s="17"/>
      <c r="E6" s="19"/>
      <c r="F6" s="27" t="s">
        <v>98</v>
      </c>
      <c r="G6" s="17"/>
      <c r="H6" s="19"/>
      <c r="I6" s="27" t="s">
        <v>99</v>
      </c>
      <c r="J6" s="17"/>
      <c r="K6" s="19"/>
      <c r="L6" s="27" t="s">
        <v>100</v>
      </c>
      <c r="M6" s="17"/>
      <c r="N6" s="19"/>
      <c r="O6" s="30" t="s">
        <v>101</v>
      </c>
      <c r="P6" s="17"/>
      <c r="Q6" s="19"/>
      <c r="R6" s="27" t="s">
        <v>102</v>
      </c>
      <c r="S6" s="17"/>
      <c r="T6" s="19"/>
      <c r="U6" s="27" t="s">
        <v>103</v>
      </c>
      <c r="V6" s="17"/>
      <c r="W6" s="19"/>
      <c r="X6" s="27" t="s">
        <v>100</v>
      </c>
      <c r="Y6" s="17"/>
      <c r="Z6" s="19"/>
      <c r="AA6" s="30" t="s">
        <v>104</v>
      </c>
      <c r="AB6" s="17"/>
      <c r="AC6" s="19"/>
      <c r="AD6" s="27" t="s">
        <v>105</v>
      </c>
      <c r="AE6" s="17"/>
      <c r="AF6" s="19"/>
      <c r="AG6" s="27" t="s">
        <v>106</v>
      </c>
      <c r="AH6" s="17"/>
      <c r="AI6" s="19"/>
      <c r="AJ6" s="27" t="s">
        <v>100</v>
      </c>
      <c r="AK6" s="17"/>
      <c r="AL6" s="19"/>
      <c r="AM6" s="30" t="s">
        <v>107</v>
      </c>
      <c r="AN6" s="17"/>
      <c r="AO6" s="19"/>
      <c r="AP6" s="27" t="s">
        <v>108</v>
      </c>
      <c r="AQ6" s="17"/>
      <c r="AR6" s="19"/>
      <c r="AS6" s="27" t="s">
        <v>109</v>
      </c>
      <c r="AT6" s="17"/>
      <c r="AU6" s="19"/>
      <c r="AV6" s="27" t="s">
        <v>100</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38</v>
      </c>
      <c r="D8">
        <v>1</v>
      </c>
      <c r="E8">
        <v>0</v>
      </c>
      <c r="F8" s="28">
        <v>188</v>
      </c>
      <c r="G8">
        <v>10</v>
      </c>
      <c r="H8">
        <v>0</v>
      </c>
      <c r="I8" s="28">
        <v>11</v>
      </c>
      <c r="J8">
        <v>2</v>
      </c>
      <c r="K8">
        <v>0</v>
      </c>
      <c r="L8" s="28">
        <v>0</v>
      </c>
      <c r="M8">
        <v>0</v>
      </c>
      <c r="N8">
        <v>0</v>
      </c>
      <c r="O8" s="31">
        <v>31</v>
      </c>
      <c r="P8">
        <v>2</v>
      </c>
      <c r="Q8">
        <v>1</v>
      </c>
      <c r="R8" s="28">
        <v>98</v>
      </c>
      <c r="S8">
        <v>8</v>
      </c>
      <c r="T8">
        <v>0</v>
      </c>
      <c r="U8" s="28">
        <v>10</v>
      </c>
      <c r="V8">
        <v>1</v>
      </c>
      <c r="W8">
        <v>0</v>
      </c>
      <c r="X8" s="28">
        <v>0</v>
      </c>
      <c r="Y8">
        <v>0</v>
      </c>
      <c r="Z8">
        <v>0</v>
      </c>
      <c r="AA8" s="31">
        <v>74</v>
      </c>
      <c r="AB8">
        <v>11</v>
      </c>
      <c r="AC8">
        <v>0</v>
      </c>
      <c r="AD8" s="28">
        <v>174</v>
      </c>
      <c r="AE8">
        <v>8</v>
      </c>
      <c r="AF8">
        <v>0</v>
      </c>
      <c r="AG8" s="28">
        <v>28</v>
      </c>
      <c r="AH8">
        <v>4</v>
      </c>
      <c r="AI8">
        <v>0</v>
      </c>
      <c r="AJ8" s="28">
        <v>0</v>
      </c>
      <c r="AK8">
        <v>0</v>
      </c>
      <c r="AL8">
        <v>0</v>
      </c>
      <c r="AM8" s="31">
        <v>3</v>
      </c>
      <c r="AN8">
        <v>2</v>
      </c>
      <c r="AO8">
        <v>0</v>
      </c>
      <c r="AP8" s="28">
        <v>116</v>
      </c>
      <c r="AQ8">
        <v>9</v>
      </c>
      <c r="AR8">
        <v>1</v>
      </c>
      <c r="AS8" s="28">
        <v>53</v>
      </c>
      <c r="AT8">
        <v>8</v>
      </c>
      <c r="AU8">
        <v>0</v>
      </c>
      <c r="AV8" s="28">
        <v>0</v>
      </c>
      <c r="AW8">
        <v>0</v>
      </c>
      <c r="AX8" s="34">
        <v>0</v>
      </c>
    </row>
    <row r="9" spans="1:50" x14ac:dyDescent="0.25">
      <c r="A9" s="2" t="s">
        <v>43</v>
      </c>
      <c r="B9" s="7">
        <v>0.30208333333333331</v>
      </c>
      <c r="C9" s="31">
        <v>24</v>
      </c>
      <c r="D9">
        <v>0</v>
      </c>
      <c r="E9">
        <v>0</v>
      </c>
      <c r="F9" s="28">
        <v>247</v>
      </c>
      <c r="G9">
        <v>12</v>
      </c>
      <c r="H9">
        <v>0</v>
      </c>
      <c r="I9" s="28">
        <v>15</v>
      </c>
      <c r="J9">
        <v>1</v>
      </c>
      <c r="K9">
        <v>0</v>
      </c>
      <c r="L9" s="28">
        <v>0</v>
      </c>
      <c r="M9">
        <v>0</v>
      </c>
      <c r="N9">
        <v>0</v>
      </c>
      <c r="O9" s="31">
        <v>45</v>
      </c>
      <c r="P9">
        <v>1</v>
      </c>
      <c r="Q9">
        <v>0</v>
      </c>
      <c r="R9" s="28">
        <v>119</v>
      </c>
      <c r="S9">
        <v>11</v>
      </c>
      <c r="T9">
        <v>2</v>
      </c>
      <c r="U9" s="28">
        <v>13</v>
      </c>
      <c r="V9">
        <v>4</v>
      </c>
      <c r="W9">
        <v>0</v>
      </c>
      <c r="X9" s="28">
        <v>0</v>
      </c>
      <c r="Y9">
        <v>0</v>
      </c>
      <c r="Z9">
        <v>0</v>
      </c>
      <c r="AA9" s="31">
        <v>118</v>
      </c>
      <c r="AB9">
        <v>9</v>
      </c>
      <c r="AC9">
        <v>0</v>
      </c>
      <c r="AD9" s="28">
        <v>209</v>
      </c>
      <c r="AE9">
        <v>9</v>
      </c>
      <c r="AF9">
        <v>0</v>
      </c>
      <c r="AG9" s="28">
        <v>46</v>
      </c>
      <c r="AH9">
        <v>7</v>
      </c>
      <c r="AI9">
        <v>0</v>
      </c>
      <c r="AJ9" s="28">
        <v>0</v>
      </c>
      <c r="AK9">
        <v>0</v>
      </c>
      <c r="AL9">
        <v>0</v>
      </c>
      <c r="AM9" s="31">
        <v>5</v>
      </c>
      <c r="AN9">
        <v>0</v>
      </c>
      <c r="AO9">
        <v>0</v>
      </c>
      <c r="AP9" s="28">
        <v>131</v>
      </c>
      <c r="AQ9">
        <v>9</v>
      </c>
      <c r="AR9">
        <v>0</v>
      </c>
      <c r="AS9" s="28">
        <v>67</v>
      </c>
      <c r="AT9">
        <v>7</v>
      </c>
      <c r="AU9">
        <v>0</v>
      </c>
      <c r="AV9" s="28">
        <v>0</v>
      </c>
      <c r="AW9">
        <v>0</v>
      </c>
      <c r="AX9" s="34">
        <v>0</v>
      </c>
    </row>
    <row r="10" spans="1:50" x14ac:dyDescent="0.25">
      <c r="A10" s="2" t="s">
        <v>43</v>
      </c>
      <c r="B10" s="7">
        <v>0.3125</v>
      </c>
      <c r="C10" s="31">
        <v>44</v>
      </c>
      <c r="D10">
        <v>0</v>
      </c>
      <c r="E10">
        <v>0</v>
      </c>
      <c r="F10" s="28">
        <v>208</v>
      </c>
      <c r="G10">
        <v>11</v>
      </c>
      <c r="H10">
        <v>0</v>
      </c>
      <c r="I10" s="28">
        <v>14</v>
      </c>
      <c r="J10">
        <v>1</v>
      </c>
      <c r="K10">
        <v>0</v>
      </c>
      <c r="L10" s="28">
        <v>0</v>
      </c>
      <c r="M10">
        <v>0</v>
      </c>
      <c r="N10">
        <v>0</v>
      </c>
      <c r="O10" s="31">
        <v>50</v>
      </c>
      <c r="P10">
        <v>2</v>
      </c>
      <c r="Q10">
        <v>1</v>
      </c>
      <c r="R10" s="28">
        <v>136</v>
      </c>
      <c r="S10">
        <v>8</v>
      </c>
      <c r="T10">
        <v>1</v>
      </c>
      <c r="U10" s="28">
        <v>13</v>
      </c>
      <c r="V10">
        <v>2</v>
      </c>
      <c r="W10">
        <v>0</v>
      </c>
      <c r="X10" s="28">
        <v>0</v>
      </c>
      <c r="Y10">
        <v>0</v>
      </c>
      <c r="Z10">
        <v>0</v>
      </c>
      <c r="AA10" s="31">
        <v>112</v>
      </c>
      <c r="AB10">
        <v>10</v>
      </c>
      <c r="AC10">
        <v>0</v>
      </c>
      <c r="AD10" s="28">
        <v>287</v>
      </c>
      <c r="AE10">
        <v>12</v>
      </c>
      <c r="AF10">
        <v>0</v>
      </c>
      <c r="AG10" s="28">
        <v>59</v>
      </c>
      <c r="AH10">
        <v>3</v>
      </c>
      <c r="AI10">
        <v>0</v>
      </c>
      <c r="AJ10" s="28">
        <v>1</v>
      </c>
      <c r="AK10">
        <v>0</v>
      </c>
      <c r="AL10">
        <v>0</v>
      </c>
      <c r="AM10" s="31">
        <v>6</v>
      </c>
      <c r="AN10">
        <v>1</v>
      </c>
      <c r="AO10">
        <v>0</v>
      </c>
      <c r="AP10" s="28">
        <v>174</v>
      </c>
      <c r="AQ10">
        <v>14</v>
      </c>
      <c r="AR10">
        <v>1</v>
      </c>
      <c r="AS10" s="28">
        <v>63</v>
      </c>
      <c r="AT10">
        <v>5</v>
      </c>
      <c r="AU10">
        <v>0</v>
      </c>
      <c r="AV10" s="28">
        <v>0</v>
      </c>
      <c r="AW10">
        <v>0</v>
      </c>
      <c r="AX10" s="34">
        <v>0</v>
      </c>
    </row>
    <row r="11" spans="1:50" x14ac:dyDescent="0.25">
      <c r="A11" s="2" t="s">
        <v>43</v>
      </c>
      <c r="B11" s="7">
        <v>0.32291666666666669</v>
      </c>
      <c r="C11" s="31">
        <v>57</v>
      </c>
      <c r="D11">
        <v>2</v>
      </c>
      <c r="E11">
        <v>0</v>
      </c>
      <c r="F11" s="28">
        <v>228</v>
      </c>
      <c r="G11">
        <v>5</v>
      </c>
      <c r="H11">
        <v>0</v>
      </c>
      <c r="I11" s="28">
        <v>20</v>
      </c>
      <c r="J11">
        <v>0</v>
      </c>
      <c r="K11">
        <v>0</v>
      </c>
      <c r="L11" s="28">
        <v>0</v>
      </c>
      <c r="M11">
        <v>0</v>
      </c>
      <c r="N11">
        <v>0</v>
      </c>
      <c r="O11" s="31">
        <v>49</v>
      </c>
      <c r="P11">
        <v>5</v>
      </c>
      <c r="Q11">
        <v>0</v>
      </c>
      <c r="R11" s="28">
        <v>191</v>
      </c>
      <c r="S11">
        <v>10</v>
      </c>
      <c r="T11">
        <v>0</v>
      </c>
      <c r="U11" s="28">
        <v>21</v>
      </c>
      <c r="V11">
        <v>2</v>
      </c>
      <c r="W11">
        <v>0</v>
      </c>
      <c r="X11" s="28">
        <v>1</v>
      </c>
      <c r="Y11">
        <v>0</v>
      </c>
      <c r="Z11">
        <v>0</v>
      </c>
      <c r="AA11" s="31">
        <v>116</v>
      </c>
      <c r="AB11">
        <v>9</v>
      </c>
      <c r="AC11">
        <v>0</v>
      </c>
      <c r="AD11" s="28">
        <v>265</v>
      </c>
      <c r="AE11">
        <v>9</v>
      </c>
      <c r="AF11">
        <v>0</v>
      </c>
      <c r="AG11" s="28">
        <v>82</v>
      </c>
      <c r="AH11">
        <v>8</v>
      </c>
      <c r="AI11">
        <v>0</v>
      </c>
      <c r="AJ11" s="28">
        <v>0</v>
      </c>
      <c r="AK11">
        <v>0</v>
      </c>
      <c r="AL11">
        <v>0</v>
      </c>
      <c r="AM11" s="31">
        <v>13</v>
      </c>
      <c r="AN11">
        <v>1</v>
      </c>
      <c r="AO11">
        <v>0</v>
      </c>
      <c r="AP11" s="28">
        <v>181</v>
      </c>
      <c r="AQ11">
        <v>10</v>
      </c>
      <c r="AR11">
        <v>0</v>
      </c>
      <c r="AS11" s="28">
        <v>60</v>
      </c>
      <c r="AT11">
        <v>7</v>
      </c>
      <c r="AU11">
        <v>0</v>
      </c>
      <c r="AV11" s="28">
        <v>0</v>
      </c>
      <c r="AW11">
        <v>0</v>
      </c>
      <c r="AX11" s="34">
        <v>0</v>
      </c>
    </row>
    <row r="12" spans="1:50" x14ac:dyDescent="0.25">
      <c r="A12" s="2" t="s">
        <v>43</v>
      </c>
      <c r="B12" s="7">
        <v>0.33333333333333331</v>
      </c>
      <c r="C12" s="31">
        <v>65</v>
      </c>
      <c r="D12">
        <v>4</v>
      </c>
      <c r="E12">
        <v>0</v>
      </c>
      <c r="F12" s="28">
        <v>218</v>
      </c>
      <c r="G12">
        <v>9</v>
      </c>
      <c r="H12">
        <v>0</v>
      </c>
      <c r="I12" s="28">
        <v>23</v>
      </c>
      <c r="J12">
        <v>2</v>
      </c>
      <c r="K12">
        <v>0</v>
      </c>
      <c r="L12" s="28">
        <v>0</v>
      </c>
      <c r="M12">
        <v>0</v>
      </c>
      <c r="N12">
        <v>0</v>
      </c>
      <c r="O12" s="31">
        <v>25</v>
      </c>
      <c r="P12">
        <v>3</v>
      </c>
      <c r="Q12">
        <v>0</v>
      </c>
      <c r="R12" s="28">
        <v>192</v>
      </c>
      <c r="S12">
        <v>6</v>
      </c>
      <c r="T12">
        <v>1</v>
      </c>
      <c r="U12" s="28">
        <v>22</v>
      </c>
      <c r="V12">
        <v>1</v>
      </c>
      <c r="W12">
        <v>0</v>
      </c>
      <c r="X12" s="28">
        <v>1</v>
      </c>
      <c r="Y12">
        <v>0</v>
      </c>
      <c r="Z12">
        <v>0</v>
      </c>
      <c r="AA12" s="31">
        <v>129</v>
      </c>
      <c r="AB12">
        <v>15</v>
      </c>
      <c r="AC12">
        <v>0</v>
      </c>
      <c r="AD12" s="28">
        <v>308</v>
      </c>
      <c r="AE12">
        <v>18</v>
      </c>
      <c r="AF12">
        <v>0</v>
      </c>
      <c r="AG12" s="28">
        <v>93</v>
      </c>
      <c r="AH12">
        <v>4</v>
      </c>
      <c r="AI12">
        <v>0</v>
      </c>
      <c r="AJ12" s="28">
        <v>0</v>
      </c>
      <c r="AK12">
        <v>0</v>
      </c>
      <c r="AL12">
        <v>0</v>
      </c>
      <c r="AM12" s="31">
        <v>10</v>
      </c>
      <c r="AN12">
        <v>0</v>
      </c>
      <c r="AO12">
        <v>0</v>
      </c>
      <c r="AP12" s="28">
        <v>173</v>
      </c>
      <c r="AQ12">
        <v>10</v>
      </c>
      <c r="AR12">
        <v>0</v>
      </c>
      <c r="AS12" s="28">
        <v>58</v>
      </c>
      <c r="AT12">
        <v>8</v>
      </c>
      <c r="AU12">
        <v>0</v>
      </c>
      <c r="AV12" s="28">
        <v>0</v>
      </c>
      <c r="AW12">
        <v>0</v>
      </c>
      <c r="AX12" s="34">
        <v>0</v>
      </c>
    </row>
    <row r="13" spans="1:50" x14ac:dyDescent="0.25">
      <c r="A13" s="2" t="s">
        <v>43</v>
      </c>
      <c r="B13" s="7">
        <v>0.34375</v>
      </c>
      <c r="C13" s="31">
        <v>51</v>
      </c>
      <c r="D13">
        <v>3</v>
      </c>
      <c r="E13">
        <v>0</v>
      </c>
      <c r="F13" s="28">
        <v>241</v>
      </c>
      <c r="G13">
        <v>10</v>
      </c>
      <c r="H13">
        <v>0</v>
      </c>
      <c r="I13" s="28">
        <v>14</v>
      </c>
      <c r="J13">
        <v>2</v>
      </c>
      <c r="K13">
        <v>0</v>
      </c>
      <c r="L13" s="28">
        <v>0</v>
      </c>
      <c r="M13">
        <v>0</v>
      </c>
      <c r="N13">
        <v>0</v>
      </c>
      <c r="O13" s="31">
        <v>60</v>
      </c>
      <c r="P13">
        <v>2</v>
      </c>
      <c r="Q13">
        <v>0</v>
      </c>
      <c r="R13" s="28">
        <v>132</v>
      </c>
      <c r="S13">
        <v>8</v>
      </c>
      <c r="T13">
        <v>0</v>
      </c>
      <c r="U13" s="28">
        <v>29</v>
      </c>
      <c r="V13">
        <v>0</v>
      </c>
      <c r="W13">
        <v>0</v>
      </c>
      <c r="X13" s="28">
        <v>1</v>
      </c>
      <c r="Y13">
        <v>0</v>
      </c>
      <c r="Z13">
        <v>0</v>
      </c>
      <c r="AA13" s="31">
        <v>119</v>
      </c>
      <c r="AB13">
        <v>12</v>
      </c>
      <c r="AC13">
        <v>0</v>
      </c>
      <c r="AD13" s="28">
        <v>325</v>
      </c>
      <c r="AE13">
        <v>13</v>
      </c>
      <c r="AF13">
        <v>0</v>
      </c>
      <c r="AG13" s="28">
        <v>80</v>
      </c>
      <c r="AH13">
        <v>2</v>
      </c>
      <c r="AI13">
        <v>0</v>
      </c>
      <c r="AJ13" s="28">
        <v>0</v>
      </c>
      <c r="AK13">
        <v>0</v>
      </c>
      <c r="AL13">
        <v>0</v>
      </c>
      <c r="AM13" s="31">
        <v>14</v>
      </c>
      <c r="AN13">
        <v>0</v>
      </c>
      <c r="AO13">
        <v>0</v>
      </c>
      <c r="AP13" s="28">
        <v>177</v>
      </c>
      <c r="AQ13">
        <v>7</v>
      </c>
      <c r="AR13">
        <v>1</v>
      </c>
      <c r="AS13" s="28">
        <v>84</v>
      </c>
      <c r="AT13">
        <v>7</v>
      </c>
      <c r="AU13">
        <v>0</v>
      </c>
      <c r="AV13" s="28">
        <v>1</v>
      </c>
      <c r="AW13">
        <v>0</v>
      </c>
      <c r="AX13" s="34">
        <v>0</v>
      </c>
    </row>
    <row r="14" spans="1:50" x14ac:dyDescent="0.25">
      <c r="A14" s="2" t="s">
        <v>43</v>
      </c>
      <c r="B14" s="7">
        <v>0.35416666666666669</v>
      </c>
      <c r="C14" s="31">
        <v>51</v>
      </c>
      <c r="D14">
        <v>2</v>
      </c>
      <c r="E14">
        <v>0</v>
      </c>
      <c r="F14" s="28">
        <v>248</v>
      </c>
      <c r="G14">
        <v>12</v>
      </c>
      <c r="H14">
        <v>0</v>
      </c>
      <c r="I14" s="28">
        <v>16</v>
      </c>
      <c r="J14">
        <v>1</v>
      </c>
      <c r="K14">
        <v>0</v>
      </c>
      <c r="L14" s="28">
        <v>0</v>
      </c>
      <c r="M14">
        <v>0</v>
      </c>
      <c r="N14">
        <v>0</v>
      </c>
      <c r="O14" s="31">
        <v>70</v>
      </c>
      <c r="P14">
        <v>7</v>
      </c>
      <c r="Q14">
        <v>0</v>
      </c>
      <c r="R14" s="28">
        <v>127</v>
      </c>
      <c r="S14">
        <v>9</v>
      </c>
      <c r="T14">
        <v>0</v>
      </c>
      <c r="U14" s="28">
        <v>43</v>
      </c>
      <c r="V14">
        <v>2</v>
      </c>
      <c r="W14">
        <v>0</v>
      </c>
      <c r="X14" s="28">
        <v>0</v>
      </c>
      <c r="Y14">
        <v>0</v>
      </c>
      <c r="Z14">
        <v>0</v>
      </c>
      <c r="AA14" s="31">
        <v>112</v>
      </c>
      <c r="AB14">
        <v>11</v>
      </c>
      <c r="AC14">
        <v>0</v>
      </c>
      <c r="AD14" s="28">
        <v>305</v>
      </c>
      <c r="AE14">
        <v>14</v>
      </c>
      <c r="AF14">
        <v>0</v>
      </c>
      <c r="AG14" s="28">
        <v>89</v>
      </c>
      <c r="AH14">
        <v>2</v>
      </c>
      <c r="AI14">
        <v>0</v>
      </c>
      <c r="AJ14" s="28">
        <v>0</v>
      </c>
      <c r="AK14">
        <v>0</v>
      </c>
      <c r="AL14">
        <v>0</v>
      </c>
      <c r="AM14" s="31">
        <v>18</v>
      </c>
      <c r="AN14">
        <v>3</v>
      </c>
      <c r="AO14">
        <v>0</v>
      </c>
      <c r="AP14" s="28">
        <v>178</v>
      </c>
      <c r="AQ14">
        <v>8</v>
      </c>
      <c r="AR14">
        <v>0</v>
      </c>
      <c r="AS14" s="28">
        <v>64</v>
      </c>
      <c r="AT14">
        <v>9</v>
      </c>
      <c r="AU14">
        <v>0</v>
      </c>
      <c r="AV14" s="28">
        <v>0</v>
      </c>
      <c r="AW14">
        <v>0</v>
      </c>
      <c r="AX14" s="34">
        <v>0</v>
      </c>
    </row>
    <row r="15" spans="1:50" ht="15.75" thickBot="1" x14ac:dyDescent="0.3">
      <c r="A15" s="2" t="s">
        <v>43</v>
      </c>
      <c r="B15" s="7">
        <v>0.36458333333333331</v>
      </c>
      <c r="C15" s="31">
        <v>47</v>
      </c>
      <c r="D15">
        <v>1</v>
      </c>
      <c r="E15">
        <v>0</v>
      </c>
      <c r="F15" s="28">
        <v>196</v>
      </c>
      <c r="G15">
        <v>8</v>
      </c>
      <c r="H15">
        <v>0</v>
      </c>
      <c r="I15" s="28">
        <v>10</v>
      </c>
      <c r="J15">
        <v>0</v>
      </c>
      <c r="K15">
        <v>0</v>
      </c>
      <c r="L15" s="28">
        <v>0</v>
      </c>
      <c r="M15">
        <v>0</v>
      </c>
      <c r="N15">
        <v>0</v>
      </c>
      <c r="O15" s="31">
        <v>55</v>
      </c>
      <c r="P15">
        <v>6</v>
      </c>
      <c r="Q15">
        <v>0</v>
      </c>
      <c r="R15" s="28">
        <v>155</v>
      </c>
      <c r="S15">
        <v>6</v>
      </c>
      <c r="T15">
        <v>0</v>
      </c>
      <c r="U15" s="28">
        <v>40</v>
      </c>
      <c r="V15">
        <v>2</v>
      </c>
      <c r="W15">
        <v>0</v>
      </c>
      <c r="X15" s="28">
        <v>0</v>
      </c>
      <c r="Y15">
        <v>0</v>
      </c>
      <c r="Z15">
        <v>0</v>
      </c>
      <c r="AA15" s="31">
        <v>98</v>
      </c>
      <c r="AB15">
        <v>15</v>
      </c>
      <c r="AC15">
        <v>0</v>
      </c>
      <c r="AD15" s="28">
        <v>253</v>
      </c>
      <c r="AE15">
        <v>9</v>
      </c>
      <c r="AF15">
        <v>0</v>
      </c>
      <c r="AG15" s="28">
        <v>69</v>
      </c>
      <c r="AH15">
        <v>9</v>
      </c>
      <c r="AI15">
        <v>0</v>
      </c>
      <c r="AJ15" s="28">
        <v>0</v>
      </c>
      <c r="AK15">
        <v>0</v>
      </c>
      <c r="AL15">
        <v>0</v>
      </c>
      <c r="AM15" s="31">
        <v>11</v>
      </c>
      <c r="AN15">
        <v>2</v>
      </c>
      <c r="AO15">
        <v>0</v>
      </c>
      <c r="AP15" s="28">
        <v>148</v>
      </c>
      <c r="AQ15">
        <v>8</v>
      </c>
      <c r="AR15">
        <v>0</v>
      </c>
      <c r="AS15" s="28">
        <v>70</v>
      </c>
      <c r="AT15">
        <v>12</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30</v>
      </c>
      <c r="D17">
        <v>3</v>
      </c>
      <c r="E17">
        <v>0</v>
      </c>
      <c r="F17" s="28">
        <v>221</v>
      </c>
      <c r="G17">
        <v>8</v>
      </c>
      <c r="H17">
        <v>0</v>
      </c>
      <c r="I17" s="28">
        <v>19</v>
      </c>
      <c r="J17">
        <v>1</v>
      </c>
      <c r="K17">
        <v>0</v>
      </c>
      <c r="L17" s="28">
        <v>0</v>
      </c>
      <c r="M17">
        <v>0</v>
      </c>
      <c r="N17">
        <v>0</v>
      </c>
      <c r="O17" s="31">
        <v>66</v>
      </c>
      <c r="P17">
        <v>2</v>
      </c>
      <c r="Q17">
        <v>0</v>
      </c>
      <c r="R17" s="28">
        <v>176</v>
      </c>
      <c r="S17">
        <v>11</v>
      </c>
      <c r="T17">
        <v>0</v>
      </c>
      <c r="U17" s="28">
        <v>43</v>
      </c>
      <c r="V17">
        <v>5</v>
      </c>
      <c r="W17">
        <v>0</v>
      </c>
      <c r="X17" s="28">
        <v>0</v>
      </c>
      <c r="Y17">
        <v>0</v>
      </c>
      <c r="Z17">
        <v>0</v>
      </c>
      <c r="AA17" s="31">
        <v>83</v>
      </c>
      <c r="AB17">
        <v>12</v>
      </c>
      <c r="AC17">
        <v>0</v>
      </c>
      <c r="AD17" s="28">
        <v>240</v>
      </c>
      <c r="AE17">
        <v>8</v>
      </c>
      <c r="AF17">
        <v>0</v>
      </c>
      <c r="AG17" s="28">
        <v>59</v>
      </c>
      <c r="AH17">
        <v>2</v>
      </c>
      <c r="AI17">
        <v>0</v>
      </c>
      <c r="AJ17" s="28">
        <v>0</v>
      </c>
      <c r="AK17">
        <v>0</v>
      </c>
      <c r="AL17">
        <v>0</v>
      </c>
      <c r="AM17" s="31">
        <v>17</v>
      </c>
      <c r="AN17">
        <v>0</v>
      </c>
      <c r="AO17">
        <v>0</v>
      </c>
      <c r="AP17" s="28">
        <v>166</v>
      </c>
      <c r="AQ17">
        <v>5</v>
      </c>
      <c r="AR17">
        <v>0</v>
      </c>
      <c r="AS17" s="28">
        <v>84</v>
      </c>
      <c r="AT17">
        <v>4</v>
      </c>
      <c r="AU17">
        <v>0</v>
      </c>
      <c r="AV17" s="28">
        <v>0</v>
      </c>
      <c r="AW17">
        <v>0</v>
      </c>
      <c r="AX17" s="34">
        <v>0</v>
      </c>
    </row>
    <row r="18" spans="1:50" x14ac:dyDescent="0.25">
      <c r="A18" s="2" t="s">
        <v>90</v>
      </c>
      <c r="B18" s="7">
        <v>0.55208333333333337</v>
      </c>
      <c r="C18" s="31">
        <v>26</v>
      </c>
      <c r="D18">
        <v>5</v>
      </c>
      <c r="E18">
        <v>0</v>
      </c>
      <c r="F18" s="28">
        <v>215</v>
      </c>
      <c r="G18">
        <v>12</v>
      </c>
      <c r="H18">
        <v>0</v>
      </c>
      <c r="I18" s="28">
        <v>11</v>
      </c>
      <c r="J18">
        <v>0</v>
      </c>
      <c r="K18">
        <v>0</v>
      </c>
      <c r="L18" s="28">
        <v>0</v>
      </c>
      <c r="M18">
        <v>0</v>
      </c>
      <c r="N18">
        <v>0</v>
      </c>
      <c r="O18" s="31">
        <v>84</v>
      </c>
      <c r="P18">
        <v>4</v>
      </c>
      <c r="Q18">
        <v>0</v>
      </c>
      <c r="R18" s="28">
        <v>188</v>
      </c>
      <c r="S18">
        <v>9</v>
      </c>
      <c r="T18">
        <v>0</v>
      </c>
      <c r="U18" s="28">
        <v>55</v>
      </c>
      <c r="V18">
        <v>0</v>
      </c>
      <c r="W18">
        <v>0</v>
      </c>
      <c r="X18" s="28">
        <v>0</v>
      </c>
      <c r="Y18">
        <v>0</v>
      </c>
      <c r="Z18">
        <v>0</v>
      </c>
      <c r="AA18" s="31">
        <v>87</v>
      </c>
      <c r="AB18">
        <v>9</v>
      </c>
      <c r="AC18">
        <v>0</v>
      </c>
      <c r="AD18" s="28">
        <v>206</v>
      </c>
      <c r="AE18">
        <v>10</v>
      </c>
      <c r="AF18">
        <v>0</v>
      </c>
      <c r="AG18" s="28">
        <v>65</v>
      </c>
      <c r="AH18">
        <v>1</v>
      </c>
      <c r="AI18">
        <v>0</v>
      </c>
      <c r="AJ18" s="28">
        <v>0</v>
      </c>
      <c r="AK18">
        <v>0</v>
      </c>
      <c r="AL18">
        <v>0</v>
      </c>
      <c r="AM18" s="31">
        <v>16</v>
      </c>
      <c r="AN18">
        <v>0</v>
      </c>
      <c r="AO18">
        <v>0</v>
      </c>
      <c r="AP18" s="28">
        <v>142</v>
      </c>
      <c r="AQ18">
        <v>8</v>
      </c>
      <c r="AR18">
        <v>0</v>
      </c>
      <c r="AS18" s="28">
        <v>80</v>
      </c>
      <c r="AT18">
        <v>7</v>
      </c>
      <c r="AU18">
        <v>0</v>
      </c>
      <c r="AV18" s="28">
        <v>1</v>
      </c>
      <c r="AW18">
        <v>0</v>
      </c>
      <c r="AX18" s="34">
        <v>0</v>
      </c>
    </row>
    <row r="19" spans="1:50" x14ac:dyDescent="0.25">
      <c r="A19" s="2" t="s">
        <v>90</v>
      </c>
      <c r="B19" s="7">
        <v>0.5625</v>
      </c>
      <c r="C19" s="31">
        <v>28</v>
      </c>
      <c r="D19">
        <v>0</v>
      </c>
      <c r="E19">
        <v>0</v>
      </c>
      <c r="F19" s="28">
        <v>257</v>
      </c>
      <c r="G19">
        <v>16</v>
      </c>
      <c r="H19">
        <v>0</v>
      </c>
      <c r="I19" s="28">
        <v>12</v>
      </c>
      <c r="J19">
        <v>1</v>
      </c>
      <c r="K19">
        <v>0</v>
      </c>
      <c r="L19" s="28">
        <v>0</v>
      </c>
      <c r="M19">
        <v>0</v>
      </c>
      <c r="N19">
        <v>0</v>
      </c>
      <c r="O19" s="31">
        <v>79</v>
      </c>
      <c r="P19">
        <v>1</v>
      </c>
      <c r="Q19">
        <v>0</v>
      </c>
      <c r="R19" s="28">
        <v>180</v>
      </c>
      <c r="S19">
        <v>12</v>
      </c>
      <c r="T19">
        <v>0</v>
      </c>
      <c r="U19" s="28">
        <v>55</v>
      </c>
      <c r="V19">
        <v>1</v>
      </c>
      <c r="W19">
        <v>0</v>
      </c>
      <c r="X19" s="28">
        <v>0</v>
      </c>
      <c r="Y19">
        <v>0</v>
      </c>
      <c r="Z19">
        <v>0</v>
      </c>
      <c r="AA19" s="31">
        <v>85</v>
      </c>
      <c r="AB19">
        <v>11</v>
      </c>
      <c r="AC19">
        <v>0</v>
      </c>
      <c r="AD19" s="28">
        <v>265</v>
      </c>
      <c r="AE19">
        <v>11</v>
      </c>
      <c r="AF19">
        <v>0</v>
      </c>
      <c r="AG19" s="28">
        <v>52</v>
      </c>
      <c r="AH19">
        <v>1</v>
      </c>
      <c r="AI19">
        <v>0</v>
      </c>
      <c r="AJ19" s="28">
        <v>1</v>
      </c>
      <c r="AK19">
        <v>0</v>
      </c>
      <c r="AL19">
        <v>0</v>
      </c>
      <c r="AM19" s="31">
        <v>15</v>
      </c>
      <c r="AN19">
        <v>1</v>
      </c>
      <c r="AO19">
        <v>0</v>
      </c>
      <c r="AP19" s="28">
        <v>174</v>
      </c>
      <c r="AQ19">
        <v>7</v>
      </c>
      <c r="AR19">
        <v>0</v>
      </c>
      <c r="AS19" s="28">
        <v>79</v>
      </c>
      <c r="AT19">
        <v>10</v>
      </c>
      <c r="AU19">
        <v>0</v>
      </c>
      <c r="AV19" s="28">
        <v>0</v>
      </c>
      <c r="AW19">
        <v>0</v>
      </c>
      <c r="AX19" s="34">
        <v>0</v>
      </c>
    </row>
    <row r="20" spans="1:50" ht="15.75" thickBot="1" x14ac:dyDescent="0.3">
      <c r="A20" s="2" t="s">
        <v>90</v>
      </c>
      <c r="B20" s="7">
        <v>0.57291666666666663</v>
      </c>
      <c r="C20" s="31">
        <v>28</v>
      </c>
      <c r="D20">
        <v>2</v>
      </c>
      <c r="E20">
        <v>0</v>
      </c>
      <c r="F20" s="28">
        <v>200</v>
      </c>
      <c r="G20">
        <v>9</v>
      </c>
      <c r="H20">
        <v>0</v>
      </c>
      <c r="I20" s="28">
        <v>17</v>
      </c>
      <c r="J20">
        <v>2</v>
      </c>
      <c r="K20">
        <v>0</v>
      </c>
      <c r="L20" s="28">
        <v>0</v>
      </c>
      <c r="M20">
        <v>0</v>
      </c>
      <c r="N20">
        <v>0</v>
      </c>
      <c r="O20" s="31">
        <v>93</v>
      </c>
      <c r="P20">
        <v>1</v>
      </c>
      <c r="Q20">
        <v>0</v>
      </c>
      <c r="R20" s="28">
        <v>228</v>
      </c>
      <c r="S20">
        <v>9</v>
      </c>
      <c r="T20">
        <v>0</v>
      </c>
      <c r="U20" s="28">
        <v>53</v>
      </c>
      <c r="V20">
        <v>1</v>
      </c>
      <c r="W20">
        <v>0</v>
      </c>
      <c r="X20" s="28">
        <v>0</v>
      </c>
      <c r="Y20">
        <v>0</v>
      </c>
      <c r="Z20">
        <v>0</v>
      </c>
      <c r="AA20" s="31">
        <v>80</v>
      </c>
      <c r="AB20">
        <v>6</v>
      </c>
      <c r="AC20">
        <v>0</v>
      </c>
      <c r="AD20" s="28">
        <v>246</v>
      </c>
      <c r="AE20">
        <v>13</v>
      </c>
      <c r="AF20">
        <v>0</v>
      </c>
      <c r="AG20" s="28">
        <v>51</v>
      </c>
      <c r="AH20">
        <v>0</v>
      </c>
      <c r="AI20">
        <v>0</v>
      </c>
      <c r="AJ20" s="28">
        <v>1</v>
      </c>
      <c r="AK20">
        <v>0</v>
      </c>
      <c r="AL20">
        <v>0</v>
      </c>
      <c r="AM20" s="31">
        <v>19</v>
      </c>
      <c r="AN20">
        <v>1</v>
      </c>
      <c r="AO20">
        <v>0</v>
      </c>
      <c r="AP20" s="28">
        <v>178</v>
      </c>
      <c r="AQ20">
        <v>8</v>
      </c>
      <c r="AR20">
        <v>0</v>
      </c>
      <c r="AS20" s="28">
        <v>84</v>
      </c>
      <c r="AT20">
        <v>8</v>
      </c>
      <c r="AU20">
        <v>0</v>
      </c>
      <c r="AV20" s="28">
        <v>1</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26</v>
      </c>
      <c r="D22">
        <v>2</v>
      </c>
      <c r="E22">
        <v>0</v>
      </c>
      <c r="F22" s="28">
        <v>235</v>
      </c>
      <c r="G22">
        <v>7</v>
      </c>
      <c r="H22">
        <v>0</v>
      </c>
      <c r="I22" s="28">
        <v>17</v>
      </c>
      <c r="J22">
        <v>2</v>
      </c>
      <c r="K22">
        <v>0</v>
      </c>
      <c r="L22" s="28">
        <v>0</v>
      </c>
      <c r="M22">
        <v>0</v>
      </c>
      <c r="N22">
        <v>0</v>
      </c>
      <c r="O22" s="31">
        <v>59</v>
      </c>
      <c r="P22">
        <v>3</v>
      </c>
      <c r="Q22">
        <v>0</v>
      </c>
      <c r="R22" s="28">
        <v>175</v>
      </c>
      <c r="S22">
        <v>7</v>
      </c>
      <c r="T22">
        <v>0</v>
      </c>
      <c r="U22" s="28">
        <v>60</v>
      </c>
      <c r="V22">
        <v>2</v>
      </c>
      <c r="W22">
        <v>0</v>
      </c>
      <c r="X22" s="28">
        <v>0</v>
      </c>
      <c r="Y22">
        <v>0</v>
      </c>
      <c r="Z22">
        <v>0</v>
      </c>
      <c r="AA22" s="31">
        <v>63</v>
      </c>
      <c r="AB22">
        <v>14</v>
      </c>
      <c r="AC22">
        <v>0</v>
      </c>
      <c r="AD22" s="28">
        <v>333</v>
      </c>
      <c r="AE22">
        <v>8</v>
      </c>
      <c r="AF22">
        <v>0</v>
      </c>
      <c r="AG22" s="28">
        <v>55</v>
      </c>
      <c r="AH22">
        <v>2</v>
      </c>
      <c r="AI22">
        <v>0</v>
      </c>
      <c r="AJ22" s="28">
        <v>0</v>
      </c>
      <c r="AK22">
        <v>0</v>
      </c>
      <c r="AL22">
        <v>0</v>
      </c>
      <c r="AM22" s="31">
        <v>18</v>
      </c>
      <c r="AN22">
        <v>2</v>
      </c>
      <c r="AO22">
        <v>0</v>
      </c>
      <c r="AP22" s="28">
        <v>160</v>
      </c>
      <c r="AQ22">
        <v>7</v>
      </c>
      <c r="AR22">
        <v>0</v>
      </c>
      <c r="AS22" s="28">
        <v>105</v>
      </c>
      <c r="AT22">
        <v>6</v>
      </c>
      <c r="AU22">
        <v>0</v>
      </c>
      <c r="AV22" s="28">
        <v>0</v>
      </c>
      <c r="AW22">
        <v>0</v>
      </c>
      <c r="AX22" s="34">
        <v>0</v>
      </c>
    </row>
    <row r="23" spans="1:50" x14ac:dyDescent="0.25">
      <c r="A23" s="2" t="s">
        <v>44</v>
      </c>
      <c r="B23" s="7">
        <v>0.67708333333333337</v>
      </c>
      <c r="C23" s="31">
        <v>25</v>
      </c>
      <c r="D23">
        <v>1</v>
      </c>
      <c r="E23">
        <v>0</v>
      </c>
      <c r="F23" s="28">
        <v>262</v>
      </c>
      <c r="G23">
        <v>11</v>
      </c>
      <c r="H23">
        <v>0</v>
      </c>
      <c r="I23" s="28">
        <v>12</v>
      </c>
      <c r="J23">
        <v>0</v>
      </c>
      <c r="K23">
        <v>0</v>
      </c>
      <c r="L23" s="28">
        <v>2</v>
      </c>
      <c r="M23">
        <v>0</v>
      </c>
      <c r="N23">
        <v>0</v>
      </c>
      <c r="O23" s="31">
        <v>72</v>
      </c>
      <c r="P23">
        <v>3</v>
      </c>
      <c r="Q23">
        <v>0</v>
      </c>
      <c r="R23" s="28">
        <v>195</v>
      </c>
      <c r="S23">
        <v>6</v>
      </c>
      <c r="T23">
        <v>0</v>
      </c>
      <c r="U23" s="28">
        <v>65</v>
      </c>
      <c r="V23">
        <v>0</v>
      </c>
      <c r="W23">
        <v>0</v>
      </c>
      <c r="X23" s="28">
        <v>0</v>
      </c>
      <c r="Y23">
        <v>0</v>
      </c>
      <c r="Z23">
        <v>0</v>
      </c>
      <c r="AA23" s="31">
        <v>102</v>
      </c>
      <c r="AB23">
        <v>6</v>
      </c>
      <c r="AC23">
        <v>0</v>
      </c>
      <c r="AD23" s="28">
        <v>307</v>
      </c>
      <c r="AE23">
        <v>10</v>
      </c>
      <c r="AF23">
        <v>0</v>
      </c>
      <c r="AG23" s="28">
        <v>57</v>
      </c>
      <c r="AH23">
        <v>1</v>
      </c>
      <c r="AI23">
        <v>0</v>
      </c>
      <c r="AJ23" s="28">
        <v>0</v>
      </c>
      <c r="AK23">
        <v>0</v>
      </c>
      <c r="AL23">
        <v>0</v>
      </c>
      <c r="AM23" s="31">
        <v>21</v>
      </c>
      <c r="AN23">
        <v>0</v>
      </c>
      <c r="AO23">
        <v>0</v>
      </c>
      <c r="AP23" s="28">
        <v>156</v>
      </c>
      <c r="AQ23">
        <v>11</v>
      </c>
      <c r="AR23">
        <v>0</v>
      </c>
      <c r="AS23" s="28">
        <v>117</v>
      </c>
      <c r="AT23">
        <v>4</v>
      </c>
      <c r="AU23">
        <v>0</v>
      </c>
      <c r="AV23" s="28">
        <v>0</v>
      </c>
      <c r="AW23">
        <v>0</v>
      </c>
      <c r="AX23" s="34">
        <v>0</v>
      </c>
    </row>
    <row r="24" spans="1:50" x14ac:dyDescent="0.25">
      <c r="A24" s="2" t="s">
        <v>44</v>
      </c>
      <c r="B24" s="7">
        <v>0.6875</v>
      </c>
      <c r="C24" s="31">
        <v>29</v>
      </c>
      <c r="D24">
        <v>3</v>
      </c>
      <c r="E24">
        <v>0</v>
      </c>
      <c r="F24" s="28">
        <v>204</v>
      </c>
      <c r="G24">
        <v>6</v>
      </c>
      <c r="H24">
        <v>0</v>
      </c>
      <c r="I24" s="28">
        <v>13</v>
      </c>
      <c r="J24">
        <v>3</v>
      </c>
      <c r="K24">
        <v>0</v>
      </c>
      <c r="L24" s="28">
        <v>0</v>
      </c>
      <c r="M24">
        <v>0</v>
      </c>
      <c r="N24">
        <v>0</v>
      </c>
      <c r="O24" s="31">
        <v>78</v>
      </c>
      <c r="P24">
        <v>4</v>
      </c>
      <c r="Q24">
        <v>0</v>
      </c>
      <c r="R24" s="28">
        <v>171</v>
      </c>
      <c r="S24">
        <v>8</v>
      </c>
      <c r="T24">
        <v>0</v>
      </c>
      <c r="U24" s="28">
        <v>59</v>
      </c>
      <c r="V24">
        <v>0</v>
      </c>
      <c r="W24">
        <v>0</v>
      </c>
      <c r="X24" s="28">
        <v>1</v>
      </c>
      <c r="Y24">
        <v>0</v>
      </c>
      <c r="Z24">
        <v>0</v>
      </c>
      <c r="AA24" s="31">
        <v>78</v>
      </c>
      <c r="AB24">
        <v>9</v>
      </c>
      <c r="AC24">
        <v>0</v>
      </c>
      <c r="AD24" s="28">
        <v>301</v>
      </c>
      <c r="AE24">
        <v>12</v>
      </c>
      <c r="AF24">
        <v>0</v>
      </c>
      <c r="AG24" s="28">
        <v>63</v>
      </c>
      <c r="AH24">
        <v>0</v>
      </c>
      <c r="AI24">
        <v>0</v>
      </c>
      <c r="AJ24" s="28">
        <v>0</v>
      </c>
      <c r="AK24">
        <v>0</v>
      </c>
      <c r="AL24">
        <v>0</v>
      </c>
      <c r="AM24" s="31">
        <v>30</v>
      </c>
      <c r="AN24">
        <v>0</v>
      </c>
      <c r="AO24">
        <v>0</v>
      </c>
      <c r="AP24" s="28">
        <v>182</v>
      </c>
      <c r="AQ24">
        <v>3</v>
      </c>
      <c r="AR24">
        <v>0</v>
      </c>
      <c r="AS24" s="28">
        <v>113</v>
      </c>
      <c r="AT24">
        <v>6</v>
      </c>
      <c r="AU24">
        <v>0</v>
      </c>
      <c r="AV24" s="28">
        <v>0</v>
      </c>
      <c r="AW24">
        <v>0</v>
      </c>
      <c r="AX24" s="34">
        <v>0</v>
      </c>
    </row>
    <row r="25" spans="1:50" x14ac:dyDescent="0.25">
      <c r="A25" s="2" t="s">
        <v>44</v>
      </c>
      <c r="B25" s="7">
        <v>0.69791666666666663</v>
      </c>
      <c r="C25" s="31">
        <v>20</v>
      </c>
      <c r="D25">
        <v>2</v>
      </c>
      <c r="E25">
        <v>0</v>
      </c>
      <c r="F25" s="28">
        <v>267</v>
      </c>
      <c r="G25">
        <v>4</v>
      </c>
      <c r="H25">
        <v>0</v>
      </c>
      <c r="I25" s="28">
        <v>9</v>
      </c>
      <c r="J25">
        <v>1</v>
      </c>
      <c r="K25">
        <v>0</v>
      </c>
      <c r="L25" s="28">
        <v>0</v>
      </c>
      <c r="M25">
        <v>0</v>
      </c>
      <c r="N25">
        <v>0</v>
      </c>
      <c r="O25" s="31">
        <v>71</v>
      </c>
      <c r="P25">
        <v>2</v>
      </c>
      <c r="Q25">
        <v>0</v>
      </c>
      <c r="R25" s="28">
        <v>217</v>
      </c>
      <c r="S25">
        <v>6</v>
      </c>
      <c r="T25">
        <v>0</v>
      </c>
      <c r="U25" s="28">
        <v>57</v>
      </c>
      <c r="V25">
        <v>2</v>
      </c>
      <c r="W25">
        <v>0</v>
      </c>
      <c r="X25" s="28">
        <v>0</v>
      </c>
      <c r="Y25">
        <v>0</v>
      </c>
      <c r="Z25">
        <v>0</v>
      </c>
      <c r="AA25" s="31">
        <v>72</v>
      </c>
      <c r="AB25">
        <v>4</v>
      </c>
      <c r="AC25">
        <v>0</v>
      </c>
      <c r="AD25" s="28">
        <v>294</v>
      </c>
      <c r="AE25">
        <v>8</v>
      </c>
      <c r="AF25">
        <v>0</v>
      </c>
      <c r="AG25" s="28">
        <v>44</v>
      </c>
      <c r="AH25">
        <v>1</v>
      </c>
      <c r="AI25">
        <v>0</v>
      </c>
      <c r="AJ25" s="28">
        <v>0</v>
      </c>
      <c r="AK25">
        <v>0</v>
      </c>
      <c r="AL25">
        <v>0</v>
      </c>
      <c r="AM25" s="31">
        <v>20</v>
      </c>
      <c r="AN25">
        <v>2</v>
      </c>
      <c r="AO25">
        <v>0</v>
      </c>
      <c r="AP25" s="28">
        <v>205</v>
      </c>
      <c r="AQ25">
        <v>2</v>
      </c>
      <c r="AR25">
        <v>0</v>
      </c>
      <c r="AS25" s="28">
        <v>120</v>
      </c>
      <c r="AT25">
        <v>3</v>
      </c>
      <c r="AU25">
        <v>0</v>
      </c>
      <c r="AV25" s="28">
        <v>0</v>
      </c>
      <c r="AW25">
        <v>0</v>
      </c>
      <c r="AX25" s="34">
        <v>0</v>
      </c>
    </row>
    <row r="26" spans="1:50" x14ac:dyDescent="0.25">
      <c r="A26" s="2" t="s">
        <v>44</v>
      </c>
      <c r="B26" s="7">
        <v>0.70833333333333337</v>
      </c>
      <c r="C26" s="31">
        <v>29</v>
      </c>
      <c r="D26">
        <v>0</v>
      </c>
      <c r="E26">
        <v>0</v>
      </c>
      <c r="F26" s="28">
        <v>249</v>
      </c>
      <c r="G26">
        <v>6</v>
      </c>
      <c r="H26">
        <v>0</v>
      </c>
      <c r="I26" s="28">
        <v>11</v>
      </c>
      <c r="J26">
        <v>0</v>
      </c>
      <c r="K26">
        <v>0</v>
      </c>
      <c r="L26" s="28">
        <v>0</v>
      </c>
      <c r="M26">
        <v>0</v>
      </c>
      <c r="N26">
        <v>0</v>
      </c>
      <c r="O26" s="31">
        <v>85</v>
      </c>
      <c r="P26">
        <v>1</v>
      </c>
      <c r="Q26">
        <v>0</v>
      </c>
      <c r="R26" s="28">
        <v>178</v>
      </c>
      <c r="S26">
        <v>5</v>
      </c>
      <c r="T26">
        <v>0</v>
      </c>
      <c r="U26" s="28">
        <v>71</v>
      </c>
      <c r="V26">
        <v>2</v>
      </c>
      <c r="W26">
        <v>0</v>
      </c>
      <c r="X26" s="28">
        <v>0</v>
      </c>
      <c r="Y26">
        <v>0</v>
      </c>
      <c r="Z26">
        <v>0</v>
      </c>
      <c r="AA26" s="31">
        <v>69</v>
      </c>
      <c r="AB26">
        <v>8</v>
      </c>
      <c r="AC26">
        <v>0</v>
      </c>
      <c r="AD26" s="28">
        <v>353</v>
      </c>
      <c r="AE26">
        <v>6</v>
      </c>
      <c r="AF26">
        <v>0</v>
      </c>
      <c r="AG26" s="28">
        <v>51</v>
      </c>
      <c r="AH26">
        <v>4</v>
      </c>
      <c r="AI26">
        <v>0</v>
      </c>
      <c r="AJ26" s="28">
        <v>0</v>
      </c>
      <c r="AK26">
        <v>0</v>
      </c>
      <c r="AL26">
        <v>0</v>
      </c>
      <c r="AM26" s="31">
        <v>21</v>
      </c>
      <c r="AN26">
        <v>1</v>
      </c>
      <c r="AO26">
        <v>0</v>
      </c>
      <c r="AP26" s="28">
        <v>178</v>
      </c>
      <c r="AQ26">
        <v>3</v>
      </c>
      <c r="AR26">
        <v>0</v>
      </c>
      <c r="AS26" s="28">
        <v>147</v>
      </c>
      <c r="AT26">
        <v>5</v>
      </c>
      <c r="AU26">
        <v>0</v>
      </c>
      <c r="AV26" s="28">
        <v>0</v>
      </c>
      <c r="AW26">
        <v>0</v>
      </c>
      <c r="AX26" s="34">
        <v>0</v>
      </c>
    </row>
    <row r="27" spans="1:50" x14ac:dyDescent="0.25">
      <c r="A27" s="2" t="s">
        <v>44</v>
      </c>
      <c r="B27" s="7">
        <v>0.71875</v>
      </c>
      <c r="C27" s="31">
        <v>24</v>
      </c>
      <c r="D27">
        <v>1</v>
      </c>
      <c r="E27">
        <v>0</v>
      </c>
      <c r="F27" s="28">
        <v>276</v>
      </c>
      <c r="G27">
        <v>3</v>
      </c>
      <c r="H27">
        <v>0</v>
      </c>
      <c r="I27" s="28">
        <v>7</v>
      </c>
      <c r="J27">
        <v>1</v>
      </c>
      <c r="K27">
        <v>0</v>
      </c>
      <c r="L27" s="28">
        <v>0</v>
      </c>
      <c r="M27">
        <v>0</v>
      </c>
      <c r="N27">
        <v>0</v>
      </c>
      <c r="O27" s="31">
        <v>72</v>
      </c>
      <c r="P27">
        <v>1</v>
      </c>
      <c r="Q27">
        <v>0</v>
      </c>
      <c r="R27" s="28">
        <v>209</v>
      </c>
      <c r="S27">
        <v>4</v>
      </c>
      <c r="T27">
        <v>2</v>
      </c>
      <c r="U27" s="28">
        <v>75</v>
      </c>
      <c r="V27">
        <v>0</v>
      </c>
      <c r="W27">
        <v>0</v>
      </c>
      <c r="X27" s="28">
        <v>1</v>
      </c>
      <c r="Y27">
        <v>0</v>
      </c>
      <c r="Z27">
        <v>0</v>
      </c>
      <c r="AA27" s="31">
        <v>60</v>
      </c>
      <c r="AB27">
        <v>8</v>
      </c>
      <c r="AC27">
        <v>0</v>
      </c>
      <c r="AD27" s="28">
        <v>278</v>
      </c>
      <c r="AE27">
        <v>6</v>
      </c>
      <c r="AF27">
        <v>0</v>
      </c>
      <c r="AG27" s="28">
        <v>43</v>
      </c>
      <c r="AH27">
        <v>2</v>
      </c>
      <c r="AI27">
        <v>0</v>
      </c>
      <c r="AJ27" s="28">
        <v>0</v>
      </c>
      <c r="AK27">
        <v>0</v>
      </c>
      <c r="AL27">
        <v>0</v>
      </c>
      <c r="AM27" s="31">
        <v>18</v>
      </c>
      <c r="AN27">
        <v>1</v>
      </c>
      <c r="AO27">
        <v>0</v>
      </c>
      <c r="AP27" s="28">
        <v>200</v>
      </c>
      <c r="AQ27">
        <v>2</v>
      </c>
      <c r="AR27">
        <v>0</v>
      </c>
      <c r="AS27" s="28">
        <v>128</v>
      </c>
      <c r="AT27">
        <v>2</v>
      </c>
      <c r="AU27">
        <v>0</v>
      </c>
      <c r="AV27" s="28">
        <v>0</v>
      </c>
      <c r="AW27">
        <v>0</v>
      </c>
      <c r="AX27" s="34">
        <v>0</v>
      </c>
    </row>
    <row r="28" spans="1:50" x14ac:dyDescent="0.25">
      <c r="A28" s="2" t="s">
        <v>44</v>
      </c>
      <c r="B28" s="7">
        <v>0.72916666666666663</v>
      </c>
      <c r="C28" s="31">
        <v>21</v>
      </c>
      <c r="D28">
        <v>1</v>
      </c>
      <c r="E28">
        <v>0</v>
      </c>
      <c r="F28" s="28">
        <v>250</v>
      </c>
      <c r="G28">
        <v>5</v>
      </c>
      <c r="H28">
        <v>0</v>
      </c>
      <c r="I28" s="28">
        <v>8</v>
      </c>
      <c r="J28">
        <v>0</v>
      </c>
      <c r="K28">
        <v>0</v>
      </c>
      <c r="L28" s="28">
        <v>0</v>
      </c>
      <c r="M28">
        <v>0</v>
      </c>
      <c r="N28">
        <v>0</v>
      </c>
      <c r="O28" s="31">
        <v>68</v>
      </c>
      <c r="P28">
        <v>2</v>
      </c>
      <c r="Q28">
        <v>0</v>
      </c>
      <c r="R28" s="28">
        <v>170</v>
      </c>
      <c r="S28">
        <v>4</v>
      </c>
      <c r="T28">
        <v>1</v>
      </c>
      <c r="U28" s="28">
        <v>55</v>
      </c>
      <c r="V28">
        <v>2</v>
      </c>
      <c r="W28">
        <v>0</v>
      </c>
      <c r="X28" s="28">
        <v>0</v>
      </c>
      <c r="Y28">
        <v>0</v>
      </c>
      <c r="Z28">
        <v>0</v>
      </c>
      <c r="AA28" s="31">
        <v>67</v>
      </c>
      <c r="AB28">
        <v>6</v>
      </c>
      <c r="AC28">
        <v>0</v>
      </c>
      <c r="AD28" s="28">
        <v>305</v>
      </c>
      <c r="AE28">
        <v>5</v>
      </c>
      <c r="AF28">
        <v>0</v>
      </c>
      <c r="AG28" s="28">
        <v>43</v>
      </c>
      <c r="AH28">
        <v>1</v>
      </c>
      <c r="AI28">
        <v>0</v>
      </c>
      <c r="AJ28" s="28">
        <v>0</v>
      </c>
      <c r="AK28">
        <v>0</v>
      </c>
      <c r="AL28">
        <v>0</v>
      </c>
      <c r="AM28" s="31">
        <v>6</v>
      </c>
      <c r="AN28">
        <v>0</v>
      </c>
      <c r="AO28">
        <v>0</v>
      </c>
      <c r="AP28" s="28">
        <v>129</v>
      </c>
      <c r="AQ28">
        <v>3</v>
      </c>
      <c r="AR28">
        <v>0</v>
      </c>
      <c r="AS28" s="28">
        <v>87</v>
      </c>
      <c r="AT28">
        <v>1</v>
      </c>
      <c r="AU28">
        <v>0</v>
      </c>
      <c r="AV28" s="28">
        <v>0</v>
      </c>
      <c r="AW28">
        <v>0</v>
      </c>
      <c r="AX28" s="34">
        <v>0</v>
      </c>
    </row>
    <row r="29" spans="1:50" ht="15.75" thickBot="1" x14ac:dyDescent="0.3">
      <c r="A29" s="21" t="s">
        <v>44</v>
      </c>
      <c r="B29" s="48">
        <v>0.73958333333333337</v>
      </c>
      <c r="C29" s="39">
        <v>19</v>
      </c>
      <c r="D29" s="38">
        <v>0</v>
      </c>
      <c r="E29" s="38">
        <v>0</v>
      </c>
      <c r="F29" s="40">
        <v>220</v>
      </c>
      <c r="G29" s="38">
        <v>1</v>
      </c>
      <c r="H29" s="38">
        <v>0</v>
      </c>
      <c r="I29" s="40">
        <v>12</v>
      </c>
      <c r="J29" s="38">
        <v>1</v>
      </c>
      <c r="K29" s="38">
        <v>0</v>
      </c>
      <c r="L29" s="40">
        <v>0</v>
      </c>
      <c r="M29" s="38">
        <v>0</v>
      </c>
      <c r="N29" s="38">
        <v>0</v>
      </c>
      <c r="O29" s="39">
        <v>62</v>
      </c>
      <c r="P29" s="38">
        <v>1</v>
      </c>
      <c r="Q29" s="38">
        <v>0</v>
      </c>
      <c r="R29" s="40">
        <v>194</v>
      </c>
      <c r="S29" s="38">
        <v>6</v>
      </c>
      <c r="T29" s="38">
        <v>0</v>
      </c>
      <c r="U29" s="40">
        <v>55</v>
      </c>
      <c r="V29" s="38">
        <v>0</v>
      </c>
      <c r="W29" s="38">
        <v>0</v>
      </c>
      <c r="X29" s="40">
        <v>0</v>
      </c>
      <c r="Y29" s="38">
        <v>0</v>
      </c>
      <c r="Z29" s="38">
        <v>0</v>
      </c>
      <c r="AA29" s="39">
        <v>63</v>
      </c>
      <c r="AB29" s="38">
        <v>3</v>
      </c>
      <c r="AC29" s="38">
        <v>0</v>
      </c>
      <c r="AD29" s="40">
        <v>253</v>
      </c>
      <c r="AE29" s="38">
        <v>3</v>
      </c>
      <c r="AF29" s="38">
        <v>0</v>
      </c>
      <c r="AG29" s="40">
        <v>49</v>
      </c>
      <c r="AH29" s="38">
        <v>1</v>
      </c>
      <c r="AI29" s="38">
        <v>0</v>
      </c>
      <c r="AJ29" s="40">
        <v>0</v>
      </c>
      <c r="AK29" s="38">
        <v>0</v>
      </c>
      <c r="AL29" s="38">
        <v>0</v>
      </c>
      <c r="AM29" s="39">
        <v>4</v>
      </c>
      <c r="AN29" s="38">
        <v>1</v>
      </c>
      <c r="AO29" s="38">
        <v>0</v>
      </c>
      <c r="AP29" s="40">
        <v>96</v>
      </c>
      <c r="AQ29" s="38">
        <v>3</v>
      </c>
      <c r="AR29" s="38">
        <v>0</v>
      </c>
      <c r="AS29" s="40">
        <v>65</v>
      </c>
      <c r="AT29" s="38">
        <v>4</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38</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24</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44</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57</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65</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51</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51</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47</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30</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26</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28</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28</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26</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25</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29</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20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29</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24</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21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19</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3</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3</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5</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3</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1</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188</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247</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208</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228</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218</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241</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248</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196</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221</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215</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257</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200</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235</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262</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204</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267</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249</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276</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250</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220</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12</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11</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5</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9</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12</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8</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8</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12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16</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9</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7</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11</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6</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6</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3</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5</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15</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14</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20</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23</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14</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16</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19</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11</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12</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17</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17</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12</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13</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9</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11</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7</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8</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12</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2</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3</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100</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100</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93</v>
      </c>
      <c r="B185" t="s">
        <v>100</v>
      </c>
      <c r="C185" t="s">
        <v>93</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93</v>
      </c>
      <c r="B186" t="s">
        <v>100</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100</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93</v>
      </c>
      <c r="B188" t="s">
        <v>100</v>
      </c>
      <c r="C188" t="s">
        <v>93</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93</v>
      </c>
      <c r="B189" t="s">
        <v>100</v>
      </c>
      <c r="C189" t="s">
        <v>93</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93</v>
      </c>
      <c r="B190" t="s">
        <v>100</v>
      </c>
      <c r="C190" t="s">
        <v>93</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93</v>
      </c>
      <c r="B191" t="s">
        <v>100</v>
      </c>
      <c r="C191" t="s">
        <v>93</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93</v>
      </c>
      <c r="B192" t="s">
        <v>100</v>
      </c>
      <c r="C192" t="s">
        <v>93</v>
      </c>
      <c r="D192" t="s">
        <v>79</v>
      </c>
      <c r="E192" t="s">
        <v>90</v>
      </c>
      <c r="F192" s="6">
        <v>0.5625</v>
      </c>
      <c r="G192">
        <v>0</v>
      </c>
      <c r="H192" s="6">
        <f>FLOOR(tblPivotData[[#This Row],[Time]],Summary!$B$6/1440)</f>
        <v>0.5625</v>
      </c>
      <c r="I192" s="49">
        <f>INDEX(PeakCalc!$L$10:$L$303,MATCH(tblPivotData[[#This Row],[Time]],PeakCalc!$G$10:$G$303,0))</f>
        <v>1</v>
      </c>
    </row>
    <row r="193" spans="1:9" x14ac:dyDescent="0.25">
      <c r="A193" t="s">
        <v>93</v>
      </c>
      <c r="B193" t="s">
        <v>100</v>
      </c>
      <c r="C193" t="s">
        <v>93</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93</v>
      </c>
      <c r="B194" t="s">
        <v>100</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93</v>
      </c>
      <c r="B195" t="s">
        <v>100</v>
      </c>
      <c r="C195" t="s">
        <v>93</v>
      </c>
      <c r="D195" t="s">
        <v>79</v>
      </c>
      <c r="E195" t="s">
        <v>44</v>
      </c>
      <c r="F195" s="6">
        <v>0.67708333333333337</v>
      </c>
      <c r="G195">
        <v>2</v>
      </c>
      <c r="H195" s="6">
        <f>FLOOR(tblPivotData[[#This Row],[Time]],Summary!$B$6/1440)</f>
        <v>0.67708333333333326</v>
      </c>
      <c r="I195" s="49">
        <f>INDEX(PeakCalc!$L$10:$L$303,MATCH(tblPivotData[[#This Row],[Time]],PeakCalc!$G$10:$G$303,0))</f>
        <v>1</v>
      </c>
    </row>
    <row r="196" spans="1:9" x14ac:dyDescent="0.25">
      <c r="A196" t="s">
        <v>93</v>
      </c>
      <c r="B196" t="s">
        <v>100</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93</v>
      </c>
      <c r="B197" t="s">
        <v>100</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93</v>
      </c>
      <c r="B198" t="s">
        <v>100</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93</v>
      </c>
      <c r="B199" t="s">
        <v>100</v>
      </c>
      <c r="C199" t="s">
        <v>93</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93</v>
      </c>
      <c r="B200" t="s">
        <v>100</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100</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100</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100</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100</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100</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100</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100</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100</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100</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100</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100</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100</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93</v>
      </c>
      <c r="B216" t="s">
        <v>100</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100</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100</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93</v>
      </c>
      <c r="B220" t="s">
        <v>100</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100</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100</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100</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100</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100</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100</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100</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100</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100</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100</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93</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93</v>
      </c>
      <c r="B236" t="s">
        <v>100</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100</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93</v>
      </c>
      <c r="B240" t="s">
        <v>100</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100</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31</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45</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50</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49</v>
      </c>
      <c r="H245" s="6">
        <f>FLOOR(tblPivotData[[#This Row],[Time]],Summary!$B$6/1440)</f>
        <v>0.32291666666666663</v>
      </c>
      <c r="I245" s="49">
        <f>INDEX(PeakCalc!$L$10:$L$303,MATCH(tblPivotData[[#This Row],[Time]],PeakCalc!$G$10:$G$303,0))</f>
        <v>1</v>
      </c>
    </row>
    <row r="246" spans="1:9" x14ac:dyDescent="0.25">
      <c r="A246" t="s">
        <v>94</v>
      </c>
      <c r="B246" t="s">
        <v>101</v>
      </c>
      <c r="C246" t="s">
        <v>95</v>
      </c>
      <c r="D246" t="s">
        <v>79</v>
      </c>
      <c r="E246" t="s">
        <v>43</v>
      </c>
      <c r="F246" s="6">
        <v>0.33333333333333331</v>
      </c>
      <c r="G246">
        <v>25</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60</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70</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55</v>
      </c>
      <c r="H249" s="6">
        <f>FLOOR(tblPivotData[[#This Row],[Time]],Summary!$B$6/1440)</f>
        <v>0.36458333333333331</v>
      </c>
      <c r="I249" s="49">
        <f>INDEX(PeakCalc!$L$10:$L$303,MATCH(tblPivotData[[#This Row],[Time]],PeakCalc!$G$10:$G$303,0))</f>
        <v>0</v>
      </c>
    </row>
    <row r="250" spans="1:9" x14ac:dyDescent="0.25">
      <c r="A250" t="s">
        <v>94</v>
      </c>
      <c r="B250" t="s">
        <v>101</v>
      </c>
      <c r="C250" t="s">
        <v>95</v>
      </c>
      <c r="D250" t="s">
        <v>79</v>
      </c>
      <c r="E250" t="s">
        <v>90</v>
      </c>
      <c r="F250" s="6">
        <v>0.54166666666666663</v>
      </c>
      <c r="G250">
        <v>66</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90</v>
      </c>
      <c r="F251" s="6">
        <v>0.55208333333333337</v>
      </c>
      <c r="G251">
        <v>84</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90</v>
      </c>
      <c r="F252" s="6">
        <v>0.5625</v>
      </c>
      <c r="G252">
        <v>79</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90</v>
      </c>
      <c r="F253" s="6">
        <v>0.57291666666666663</v>
      </c>
      <c r="G253">
        <v>93</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59</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72</v>
      </c>
      <c r="H255" s="6">
        <f>FLOOR(tblPivotData[[#This Row],[Time]],Summary!$B$6/1440)</f>
        <v>0.67708333333333326</v>
      </c>
      <c r="I255" s="49">
        <f>INDEX(PeakCalc!$L$10:$L$303,MATCH(tblPivotData[[#This Row],[Time]],PeakCalc!$G$10:$G$303,0))</f>
        <v>1</v>
      </c>
    </row>
    <row r="256" spans="1:9" x14ac:dyDescent="0.25">
      <c r="A256" t="s">
        <v>94</v>
      </c>
      <c r="B256" t="s">
        <v>101</v>
      </c>
      <c r="C256" t="s">
        <v>95</v>
      </c>
      <c r="D256" t="s">
        <v>79</v>
      </c>
      <c r="E256" t="s">
        <v>44</v>
      </c>
      <c r="F256" s="6">
        <v>0.6875</v>
      </c>
      <c r="G256">
        <v>78</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71</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85</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72</v>
      </c>
      <c r="H259" s="6">
        <f>FLOOR(tblPivotData[[#This Row],[Time]],Summary!$B$6/1440)</f>
        <v>0.71875</v>
      </c>
      <c r="I259" s="49">
        <f>INDEX(PeakCalc!$L$10:$L$303,MATCH(tblPivotData[[#This Row],[Time]],PeakCalc!$G$10:$G$303,0))</f>
        <v>0</v>
      </c>
    </row>
    <row r="260" spans="1:9" x14ac:dyDescent="0.25">
      <c r="A260" t="s">
        <v>94</v>
      </c>
      <c r="B260" t="s">
        <v>101</v>
      </c>
      <c r="C260" t="s">
        <v>95</v>
      </c>
      <c r="D260" t="s">
        <v>79</v>
      </c>
      <c r="E260" t="s">
        <v>44</v>
      </c>
      <c r="F260" s="6">
        <v>0.72916666666666663</v>
      </c>
      <c r="G260">
        <v>68</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62</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2</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5</v>
      </c>
      <c r="H265" s="6">
        <f>FLOOR(tblPivotData[[#This Row],[Time]],Summary!$B$6/1440)</f>
        <v>0.32291666666666663</v>
      </c>
      <c r="I265" s="49">
        <f>INDEX(PeakCalc!$L$10:$L$303,MATCH(tblPivotData[[#This Row],[Time]],PeakCalc!$G$10:$G$303,0))</f>
        <v>1</v>
      </c>
    </row>
    <row r="266" spans="1:9" x14ac:dyDescent="0.25">
      <c r="A266" t="s">
        <v>94</v>
      </c>
      <c r="B266" t="s">
        <v>101</v>
      </c>
      <c r="C266" t="s">
        <v>95</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7</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6</v>
      </c>
      <c r="H269" s="6">
        <f>FLOOR(tblPivotData[[#This Row],[Time]],Summary!$B$6/1440)</f>
        <v>0.36458333333333331</v>
      </c>
      <c r="I269" s="49">
        <f>INDEX(PeakCalc!$L$10:$L$303,MATCH(tblPivotData[[#This Row],[Time]],PeakCalc!$G$10:$G$303,0))</f>
        <v>0</v>
      </c>
    </row>
    <row r="270" spans="1:9" x14ac:dyDescent="0.25">
      <c r="A270" t="s">
        <v>94</v>
      </c>
      <c r="B270" t="s">
        <v>101</v>
      </c>
      <c r="C270" t="s">
        <v>95</v>
      </c>
      <c r="D270" t="s">
        <v>89</v>
      </c>
      <c r="E270" t="s">
        <v>90</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90</v>
      </c>
      <c r="F271" s="6">
        <v>0.55208333333333337</v>
      </c>
      <c r="G271">
        <v>4</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90</v>
      </c>
      <c r="F272" s="6">
        <v>0.5625</v>
      </c>
      <c r="G272">
        <v>1</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3</v>
      </c>
      <c r="H275" s="6">
        <f>FLOOR(tblPivotData[[#This Row],[Time]],Summary!$B$6/1440)</f>
        <v>0.67708333333333326</v>
      </c>
      <c r="I275" s="49">
        <f>INDEX(PeakCalc!$L$10:$L$303,MATCH(tblPivotData[[#This Row],[Time]],PeakCalc!$G$10:$G$303,0))</f>
        <v>1</v>
      </c>
    </row>
    <row r="276" spans="1:9" x14ac:dyDescent="0.25">
      <c r="A276" t="s">
        <v>94</v>
      </c>
      <c r="B276" t="s">
        <v>101</v>
      </c>
      <c r="C276" t="s">
        <v>95</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94</v>
      </c>
      <c r="B280" t="s">
        <v>101</v>
      </c>
      <c r="C280" t="s">
        <v>95</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94</v>
      </c>
      <c r="B282" t="s">
        <v>101</v>
      </c>
      <c r="C282" t="s">
        <v>95</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91</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95</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95</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98</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119</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136</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191</v>
      </c>
      <c r="H305" s="6">
        <f>FLOOR(tblPivotData[[#This Row],[Time]],Summary!$B$6/1440)</f>
        <v>0.32291666666666663</v>
      </c>
      <c r="I305" s="49">
        <f>INDEX(PeakCalc!$L$10:$L$303,MATCH(tblPivotData[[#This Row],[Time]],PeakCalc!$G$10:$G$303,0))</f>
        <v>1</v>
      </c>
    </row>
    <row r="306" spans="1:9" x14ac:dyDescent="0.25">
      <c r="A306" t="s">
        <v>94</v>
      </c>
      <c r="B306" t="s">
        <v>102</v>
      </c>
      <c r="C306" t="s">
        <v>96</v>
      </c>
      <c r="D306" t="s">
        <v>79</v>
      </c>
      <c r="E306" t="s">
        <v>43</v>
      </c>
      <c r="F306" s="6">
        <v>0.33333333333333331</v>
      </c>
      <c r="G306">
        <v>192</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132</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127</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155</v>
      </c>
      <c r="H309" s="6">
        <f>FLOOR(tblPivotData[[#This Row],[Time]],Summary!$B$6/1440)</f>
        <v>0.36458333333333331</v>
      </c>
      <c r="I309" s="49">
        <f>INDEX(PeakCalc!$L$10:$L$303,MATCH(tblPivotData[[#This Row],[Time]],PeakCalc!$G$10:$G$303,0))</f>
        <v>0</v>
      </c>
    </row>
    <row r="310" spans="1:9" x14ac:dyDescent="0.25">
      <c r="A310" t="s">
        <v>94</v>
      </c>
      <c r="B310" t="s">
        <v>102</v>
      </c>
      <c r="C310" t="s">
        <v>96</v>
      </c>
      <c r="D310" t="s">
        <v>79</v>
      </c>
      <c r="E310" t="s">
        <v>90</v>
      </c>
      <c r="F310" s="6">
        <v>0.54166666666666663</v>
      </c>
      <c r="G310">
        <v>176</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90</v>
      </c>
      <c r="F311" s="6">
        <v>0.55208333333333337</v>
      </c>
      <c r="G311">
        <v>188</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90</v>
      </c>
      <c r="F312" s="6">
        <v>0.5625</v>
      </c>
      <c r="G312">
        <v>180</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90</v>
      </c>
      <c r="F313" s="6">
        <v>0.57291666666666663</v>
      </c>
      <c r="G313">
        <v>228</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175</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195</v>
      </c>
      <c r="H315" s="6">
        <f>FLOOR(tblPivotData[[#This Row],[Time]],Summary!$B$6/1440)</f>
        <v>0.67708333333333326</v>
      </c>
      <c r="I315" s="49">
        <f>INDEX(PeakCalc!$L$10:$L$303,MATCH(tblPivotData[[#This Row],[Time]],PeakCalc!$G$10:$G$303,0))</f>
        <v>1</v>
      </c>
    </row>
    <row r="316" spans="1:9" x14ac:dyDescent="0.25">
      <c r="A316" t="s">
        <v>94</v>
      </c>
      <c r="B316" t="s">
        <v>102</v>
      </c>
      <c r="C316" t="s">
        <v>96</v>
      </c>
      <c r="D316" t="s">
        <v>79</v>
      </c>
      <c r="E316" t="s">
        <v>44</v>
      </c>
      <c r="F316" s="6">
        <v>0.6875</v>
      </c>
      <c r="G316">
        <v>171</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217</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178</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209</v>
      </c>
      <c r="H319" s="6">
        <f>FLOOR(tblPivotData[[#This Row],[Time]],Summary!$B$6/1440)</f>
        <v>0.71875</v>
      </c>
      <c r="I319" s="49">
        <f>INDEX(PeakCalc!$L$10:$L$303,MATCH(tblPivotData[[#This Row],[Time]],PeakCalc!$G$10:$G$303,0))</f>
        <v>0</v>
      </c>
    </row>
    <row r="320" spans="1:9" x14ac:dyDescent="0.25">
      <c r="A320" t="s">
        <v>94</v>
      </c>
      <c r="B320" t="s">
        <v>102</v>
      </c>
      <c r="C320" t="s">
        <v>96</v>
      </c>
      <c r="D320" t="s">
        <v>79</v>
      </c>
      <c r="E320" t="s">
        <v>44</v>
      </c>
      <c r="F320" s="6">
        <v>0.72916666666666663</v>
      </c>
      <c r="G320">
        <v>170</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194</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8</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11</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8</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10</v>
      </c>
      <c r="H325" s="6">
        <f>FLOOR(tblPivotData[[#This Row],[Time]],Summary!$B$6/1440)</f>
        <v>0.32291666666666663</v>
      </c>
      <c r="I325" s="49">
        <f>INDEX(PeakCalc!$L$10:$L$303,MATCH(tblPivotData[[#This Row],[Time]],PeakCalc!$G$10:$G$303,0))</f>
        <v>1</v>
      </c>
    </row>
    <row r="326" spans="1:9" x14ac:dyDescent="0.25">
      <c r="A326" t="s">
        <v>94</v>
      </c>
      <c r="B326" t="s">
        <v>102</v>
      </c>
      <c r="C326" t="s">
        <v>96</v>
      </c>
      <c r="D326" t="s">
        <v>89</v>
      </c>
      <c r="E326" t="s">
        <v>43</v>
      </c>
      <c r="F326" s="6">
        <v>0.33333333333333331</v>
      </c>
      <c r="G326">
        <v>6</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8</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9</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6</v>
      </c>
      <c r="H329" s="6">
        <f>FLOOR(tblPivotData[[#This Row],[Time]],Summary!$B$6/1440)</f>
        <v>0.36458333333333331</v>
      </c>
      <c r="I329" s="49">
        <f>INDEX(PeakCalc!$L$10:$L$303,MATCH(tblPivotData[[#This Row],[Time]],PeakCalc!$G$10:$G$303,0))</f>
        <v>0</v>
      </c>
    </row>
    <row r="330" spans="1:9" x14ac:dyDescent="0.25">
      <c r="A330" t="s">
        <v>94</v>
      </c>
      <c r="B330" t="s">
        <v>102</v>
      </c>
      <c r="C330" t="s">
        <v>96</v>
      </c>
      <c r="D330" t="s">
        <v>89</v>
      </c>
      <c r="E330" t="s">
        <v>90</v>
      </c>
      <c r="F330" s="6">
        <v>0.54166666666666663</v>
      </c>
      <c r="G330">
        <v>11</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90</v>
      </c>
      <c r="F331" s="6">
        <v>0.55208333333333337</v>
      </c>
      <c r="G331">
        <v>9</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90</v>
      </c>
      <c r="F332" s="6">
        <v>0.5625</v>
      </c>
      <c r="G332">
        <v>12</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90</v>
      </c>
      <c r="F333" s="6">
        <v>0.57291666666666663</v>
      </c>
      <c r="G333">
        <v>9</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7</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6</v>
      </c>
      <c r="H335" s="6">
        <f>FLOOR(tblPivotData[[#This Row],[Time]],Summary!$B$6/1440)</f>
        <v>0.67708333333333326</v>
      </c>
      <c r="I335" s="49">
        <f>INDEX(PeakCalc!$L$10:$L$303,MATCH(tblPivotData[[#This Row],[Time]],PeakCalc!$G$10:$G$303,0))</f>
        <v>1</v>
      </c>
    </row>
    <row r="336" spans="1:9" x14ac:dyDescent="0.25">
      <c r="A336" t="s">
        <v>94</v>
      </c>
      <c r="B336" t="s">
        <v>102</v>
      </c>
      <c r="C336" t="s">
        <v>96</v>
      </c>
      <c r="D336" t="s">
        <v>89</v>
      </c>
      <c r="E336" t="s">
        <v>44</v>
      </c>
      <c r="F336" s="6">
        <v>0.6875</v>
      </c>
      <c r="G336">
        <v>8</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6</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5</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4</v>
      </c>
      <c r="H339" s="6">
        <f>FLOOR(tblPivotData[[#This Row],[Time]],Summary!$B$6/1440)</f>
        <v>0.71875</v>
      </c>
      <c r="I339" s="49">
        <f>INDEX(PeakCalc!$L$10:$L$303,MATCH(tblPivotData[[#This Row],[Time]],PeakCalc!$G$10:$G$303,0))</f>
        <v>0</v>
      </c>
    </row>
    <row r="340" spans="1:9" x14ac:dyDescent="0.25">
      <c r="A340" t="s">
        <v>94</v>
      </c>
      <c r="B340" t="s">
        <v>102</v>
      </c>
      <c r="C340" t="s">
        <v>96</v>
      </c>
      <c r="D340" t="s">
        <v>89</v>
      </c>
      <c r="E340" t="s">
        <v>44</v>
      </c>
      <c r="F340" s="6">
        <v>0.72916666666666663</v>
      </c>
      <c r="G340">
        <v>4</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6</v>
      </c>
      <c r="H341" s="6">
        <f>FLOOR(tblPivotData[[#This Row],[Time]],Summary!$B$6/1440)</f>
        <v>0.73958333333333326</v>
      </c>
      <c r="I341" s="49">
        <f>INDEX(PeakCalc!$L$10:$L$303,MATCH(tblPivotData[[#This Row],[Time]],PeakCalc!$G$10:$G$303,0))</f>
        <v>0</v>
      </c>
    </row>
    <row r="342" spans="1:9" x14ac:dyDescent="0.25">
      <c r="A342" t="s">
        <v>94</v>
      </c>
      <c r="B342" t="s">
        <v>102</v>
      </c>
      <c r="C342" t="s">
        <v>96</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96</v>
      </c>
      <c r="D343" t="s">
        <v>91</v>
      </c>
      <c r="E343" t="s">
        <v>43</v>
      </c>
      <c r="F343" s="6">
        <v>0.30208333333333331</v>
      </c>
      <c r="G343">
        <v>2</v>
      </c>
      <c r="H343" s="6">
        <f>FLOOR(tblPivotData[[#This Row],[Time]],Summary!$B$6/1440)</f>
        <v>0.30208333333333331</v>
      </c>
      <c r="I343" s="49">
        <f>INDEX(PeakCalc!$L$10:$L$303,MATCH(tblPivotData[[#This Row],[Time]],PeakCalc!$G$10:$G$303,0))</f>
        <v>0</v>
      </c>
    </row>
    <row r="344" spans="1:9" x14ac:dyDescent="0.25">
      <c r="A344" t="s">
        <v>94</v>
      </c>
      <c r="B344" t="s">
        <v>102</v>
      </c>
      <c r="C344" t="s">
        <v>96</v>
      </c>
      <c r="D344" t="s">
        <v>91</v>
      </c>
      <c r="E344" t="s">
        <v>43</v>
      </c>
      <c r="F344" s="6">
        <v>0.3125</v>
      </c>
      <c r="G344">
        <v>1</v>
      </c>
      <c r="H344" s="6">
        <f>FLOOR(tblPivotData[[#This Row],[Time]],Summary!$B$6/1440)</f>
        <v>0.3125</v>
      </c>
      <c r="I344" s="49">
        <f>INDEX(PeakCalc!$L$10:$L$303,MATCH(tblPivotData[[#This Row],[Time]],PeakCalc!$G$10:$G$303,0))</f>
        <v>0</v>
      </c>
    </row>
    <row r="345" spans="1:9" x14ac:dyDescent="0.25">
      <c r="A345" t="s">
        <v>94</v>
      </c>
      <c r="B345" t="s">
        <v>102</v>
      </c>
      <c r="C345" t="s">
        <v>96</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96</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96</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96</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96</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96</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96</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96</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96</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96</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96</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96</v>
      </c>
      <c r="D359" t="s">
        <v>91</v>
      </c>
      <c r="E359" t="s">
        <v>44</v>
      </c>
      <c r="F359" s="6">
        <v>0.71875</v>
      </c>
      <c r="G359">
        <v>2</v>
      </c>
      <c r="H359" s="6">
        <f>FLOOR(tblPivotData[[#This Row],[Time]],Summary!$B$6/1440)</f>
        <v>0.71875</v>
      </c>
      <c r="I359" s="49">
        <f>INDEX(PeakCalc!$L$10:$L$303,MATCH(tblPivotData[[#This Row],[Time]],PeakCalc!$G$10:$G$303,0))</f>
        <v>0</v>
      </c>
    </row>
    <row r="360" spans="1:9" x14ac:dyDescent="0.25">
      <c r="A360" t="s">
        <v>94</v>
      </c>
      <c r="B360" t="s">
        <v>102</v>
      </c>
      <c r="C360" t="s">
        <v>96</v>
      </c>
      <c r="D360" t="s">
        <v>91</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94</v>
      </c>
      <c r="B361" t="s">
        <v>102</v>
      </c>
      <c r="C361" t="s">
        <v>96</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10</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13</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13</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21</v>
      </c>
      <c r="H365" s="6">
        <f>FLOOR(tblPivotData[[#This Row],[Time]],Summary!$B$6/1440)</f>
        <v>0.32291666666666663</v>
      </c>
      <c r="I365" s="49">
        <f>INDEX(PeakCalc!$L$10:$L$303,MATCH(tblPivotData[[#This Row],[Time]],PeakCalc!$G$10:$G$303,0))</f>
        <v>1</v>
      </c>
    </row>
    <row r="366" spans="1:9" x14ac:dyDescent="0.25">
      <c r="A366" t="s">
        <v>94</v>
      </c>
      <c r="B366" t="s">
        <v>103</v>
      </c>
      <c r="C366" t="s">
        <v>93</v>
      </c>
      <c r="D366" t="s">
        <v>79</v>
      </c>
      <c r="E366" t="s">
        <v>43</v>
      </c>
      <c r="F366" s="6">
        <v>0.33333333333333331</v>
      </c>
      <c r="G366">
        <v>22</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29</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43</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40</v>
      </c>
      <c r="H369" s="6">
        <f>FLOOR(tblPivotData[[#This Row],[Time]],Summary!$B$6/1440)</f>
        <v>0.36458333333333331</v>
      </c>
      <c r="I369" s="49">
        <f>INDEX(PeakCalc!$L$10:$L$303,MATCH(tblPivotData[[#This Row],[Time]],PeakCalc!$G$10:$G$303,0))</f>
        <v>0</v>
      </c>
    </row>
    <row r="370" spans="1:9" x14ac:dyDescent="0.25">
      <c r="A370" t="s">
        <v>94</v>
      </c>
      <c r="B370" t="s">
        <v>103</v>
      </c>
      <c r="C370" t="s">
        <v>93</v>
      </c>
      <c r="D370" t="s">
        <v>79</v>
      </c>
      <c r="E370" t="s">
        <v>90</v>
      </c>
      <c r="F370" s="6">
        <v>0.54166666666666663</v>
      </c>
      <c r="G370">
        <v>43</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90</v>
      </c>
      <c r="F371" s="6">
        <v>0.55208333333333337</v>
      </c>
      <c r="G371">
        <v>55</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90</v>
      </c>
      <c r="F372" s="6">
        <v>0.5625</v>
      </c>
      <c r="G372">
        <v>55</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90</v>
      </c>
      <c r="F373" s="6">
        <v>0.57291666666666663</v>
      </c>
      <c r="G373">
        <v>53</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60</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65</v>
      </c>
      <c r="H375" s="6">
        <f>FLOOR(tblPivotData[[#This Row],[Time]],Summary!$B$6/1440)</f>
        <v>0.67708333333333326</v>
      </c>
      <c r="I375" s="49">
        <f>INDEX(PeakCalc!$L$10:$L$303,MATCH(tblPivotData[[#This Row],[Time]],PeakCalc!$G$10:$G$303,0))</f>
        <v>1</v>
      </c>
    </row>
    <row r="376" spans="1:9" x14ac:dyDescent="0.25">
      <c r="A376" t="s">
        <v>94</v>
      </c>
      <c r="B376" t="s">
        <v>103</v>
      </c>
      <c r="C376" t="s">
        <v>93</v>
      </c>
      <c r="D376" t="s">
        <v>79</v>
      </c>
      <c r="E376" t="s">
        <v>44</v>
      </c>
      <c r="F376" s="6">
        <v>0.6875</v>
      </c>
      <c r="G376">
        <v>59</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57</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71</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75</v>
      </c>
      <c r="H379" s="6">
        <f>FLOOR(tblPivotData[[#This Row],[Time]],Summary!$B$6/1440)</f>
        <v>0.71875</v>
      </c>
      <c r="I379" s="49">
        <f>INDEX(PeakCalc!$L$10:$L$303,MATCH(tblPivotData[[#This Row],[Time]],PeakCalc!$G$10:$G$303,0))</f>
        <v>0</v>
      </c>
    </row>
    <row r="380" spans="1:9" x14ac:dyDescent="0.25">
      <c r="A380" t="s">
        <v>94</v>
      </c>
      <c r="B380" t="s">
        <v>103</v>
      </c>
      <c r="C380" t="s">
        <v>93</v>
      </c>
      <c r="D380" t="s">
        <v>79</v>
      </c>
      <c r="E380" t="s">
        <v>44</v>
      </c>
      <c r="F380" s="6">
        <v>0.72916666666666663</v>
      </c>
      <c r="G380">
        <v>55</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55</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4</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2</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2</v>
      </c>
      <c r="H385" s="6">
        <f>FLOOR(tblPivotData[[#This Row],[Time]],Summary!$B$6/1440)</f>
        <v>0.32291666666666663</v>
      </c>
      <c r="I385" s="49">
        <f>INDEX(PeakCalc!$L$10:$L$303,MATCH(tblPivotData[[#This Row],[Time]],PeakCalc!$G$10:$G$303,0))</f>
        <v>1</v>
      </c>
    </row>
    <row r="386" spans="1:9" x14ac:dyDescent="0.25">
      <c r="A386" t="s">
        <v>94</v>
      </c>
      <c r="B386" t="s">
        <v>103</v>
      </c>
      <c r="C386" t="s">
        <v>93</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94</v>
      </c>
      <c r="B390" t="s">
        <v>103</v>
      </c>
      <c r="C390" t="s">
        <v>93</v>
      </c>
      <c r="D390" t="s">
        <v>89</v>
      </c>
      <c r="E390" t="s">
        <v>90</v>
      </c>
      <c r="F390" s="6">
        <v>0.54166666666666663</v>
      </c>
      <c r="G390">
        <v>5</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90</v>
      </c>
      <c r="F392" s="6">
        <v>0.5625</v>
      </c>
      <c r="G392">
        <v>1</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2</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94</v>
      </c>
      <c r="B396" t="s">
        <v>103</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2</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2</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103</v>
      </c>
      <c r="C400" t="s">
        <v>93</v>
      </c>
      <c r="D400" t="s">
        <v>89</v>
      </c>
      <c r="E400" t="s">
        <v>44</v>
      </c>
      <c r="F400" s="6">
        <v>0.72916666666666663</v>
      </c>
      <c r="G400">
        <v>2</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91</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93</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103</v>
      </c>
      <c r="C406" t="s">
        <v>93</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103</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91</v>
      </c>
      <c r="E412" t="s">
        <v>90</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103</v>
      </c>
      <c r="C416" t="s">
        <v>93</v>
      </c>
      <c r="D416" t="s">
        <v>91</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103</v>
      </c>
      <c r="C420" t="s">
        <v>93</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100</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100</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100</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94</v>
      </c>
      <c r="B425" t="s">
        <v>100</v>
      </c>
      <c r="C425" t="s">
        <v>94</v>
      </c>
      <c r="D425" t="s">
        <v>79</v>
      </c>
      <c r="E425" t="s">
        <v>43</v>
      </c>
      <c r="F425" s="6">
        <v>0.32291666666666669</v>
      </c>
      <c r="G425">
        <v>1</v>
      </c>
      <c r="H425" s="6">
        <f>FLOOR(tblPivotData[[#This Row],[Time]],Summary!$B$6/1440)</f>
        <v>0.32291666666666663</v>
      </c>
      <c r="I425" s="49">
        <f>INDEX(PeakCalc!$L$10:$L$303,MATCH(tblPivotData[[#This Row],[Time]],PeakCalc!$G$10:$G$303,0))</f>
        <v>1</v>
      </c>
    </row>
    <row r="426" spans="1:9" x14ac:dyDescent="0.25">
      <c r="A426" t="s">
        <v>94</v>
      </c>
      <c r="B426" t="s">
        <v>100</v>
      </c>
      <c r="C426" t="s">
        <v>94</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94</v>
      </c>
      <c r="B427" t="s">
        <v>100</v>
      </c>
      <c r="C427" t="s">
        <v>94</v>
      </c>
      <c r="D427" t="s">
        <v>79</v>
      </c>
      <c r="E427" t="s">
        <v>43</v>
      </c>
      <c r="F427" s="6">
        <v>0.34375</v>
      </c>
      <c r="G427">
        <v>1</v>
      </c>
      <c r="H427" s="6">
        <f>FLOOR(tblPivotData[[#This Row],[Time]],Summary!$B$6/1440)</f>
        <v>0.34375</v>
      </c>
      <c r="I427" s="49">
        <f>INDEX(PeakCalc!$L$10:$L$303,MATCH(tblPivotData[[#This Row],[Time]],PeakCalc!$G$10:$G$303,0))</f>
        <v>1</v>
      </c>
    </row>
    <row r="428" spans="1:9" x14ac:dyDescent="0.25">
      <c r="A428" t="s">
        <v>94</v>
      </c>
      <c r="B428" t="s">
        <v>100</v>
      </c>
      <c r="C428" t="s">
        <v>94</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94</v>
      </c>
      <c r="B429" t="s">
        <v>100</v>
      </c>
      <c r="C429" t="s">
        <v>94</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94</v>
      </c>
      <c r="B430" t="s">
        <v>100</v>
      </c>
      <c r="C430" t="s">
        <v>94</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100</v>
      </c>
      <c r="C431" t="s">
        <v>94</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100</v>
      </c>
      <c r="C432" t="s">
        <v>94</v>
      </c>
      <c r="D432" t="s">
        <v>79</v>
      </c>
      <c r="E432" t="s">
        <v>90</v>
      </c>
      <c r="F432" s="6">
        <v>0.5625</v>
      </c>
      <c r="G432">
        <v>0</v>
      </c>
      <c r="H432" s="6">
        <f>FLOOR(tblPivotData[[#This Row],[Time]],Summary!$B$6/1440)</f>
        <v>0.5625</v>
      </c>
      <c r="I432" s="49">
        <f>INDEX(PeakCalc!$L$10:$L$303,MATCH(tblPivotData[[#This Row],[Time]],PeakCalc!$G$10:$G$303,0))</f>
        <v>1</v>
      </c>
    </row>
    <row r="433" spans="1:9" x14ac:dyDescent="0.25">
      <c r="A433" t="s">
        <v>94</v>
      </c>
      <c r="B433" t="s">
        <v>100</v>
      </c>
      <c r="C433" t="s">
        <v>94</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100</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94</v>
      </c>
      <c r="B435" t="s">
        <v>100</v>
      </c>
      <c r="C435" t="s">
        <v>94</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94</v>
      </c>
      <c r="B436" t="s">
        <v>100</v>
      </c>
      <c r="C436" t="s">
        <v>94</v>
      </c>
      <c r="D436" t="s">
        <v>79</v>
      </c>
      <c r="E436" t="s">
        <v>44</v>
      </c>
      <c r="F436" s="6">
        <v>0.6875</v>
      </c>
      <c r="G436">
        <v>1</v>
      </c>
      <c r="H436" s="6">
        <f>FLOOR(tblPivotData[[#This Row],[Time]],Summary!$B$6/1440)</f>
        <v>0.6875</v>
      </c>
      <c r="I436" s="49">
        <f>INDEX(PeakCalc!$L$10:$L$303,MATCH(tblPivotData[[#This Row],[Time]],PeakCalc!$G$10:$G$303,0))</f>
        <v>1</v>
      </c>
    </row>
    <row r="437" spans="1:9" x14ac:dyDescent="0.25">
      <c r="A437" t="s">
        <v>94</v>
      </c>
      <c r="B437" t="s">
        <v>100</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100</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94</v>
      </c>
      <c r="B439" t="s">
        <v>100</v>
      </c>
      <c r="C439" t="s">
        <v>94</v>
      </c>
      <c r="D439" t="s">
        <v>79</v>
      </c>
      <c r="E439" t="s">
        <v>44</v>
      </c>
      <c r="F439" s="6">
        <v>0.71875</v>
      </c>
      <c r="G439">
        <v>1</v>
      </c>
      <c r="H439" s="6">
        <f>FLOOR(tblPivotData[[#This Row],[Time]],Summary!$B$6/1440)</f>
        <v>0.71875</v>
      </c>
      <c r="I439" s="49">
        <f>INDEX(PeakCalc!$L$10:$L$303,MATCH(tblPivotData[[#This Row],[Time]],PeakCalc!$G$10:$G$303,0))</f>
        <v>0</v>
      </c>
    </row>
    <row r="440" spans="1:9" x14ac:dyDescent="0.25">
      <c r="A440" t="s">
        <v>94</v>
      </c>
      <c r="B440" t="s">
        <v>100</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94</v>
      </c>
      <c r="B441" t="s">
        <v>100</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100</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100</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100</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94</v>
      </c>
      <c r="B445" t="s">
        <v>100</v>
      </c>
      <c r="C445" t="s">
        <v>94</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94</v>
      </c>
      <c r="B446" t="s">
        <v>100</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100</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100</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94</v>
      </c>
      <c r="B449" t="s">
        <v>100</v>
      </c>
      <c r="C449" t="s">
        <v>94</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94</v>
      </c>
      <c r="B450" t="s">
        <v>100</v>
      </c>
      <c r="C450" t="s">
        <v>94</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100</v>
      </c>
      <c r="C451" t="s">
        <v>94</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100</v>
      </c>
      <c r="C452" t="s">
        <v>94</v>
      </c>
      <c r="D452" t="s">
        <v>89</v>
      </c>
      <c r="E452" t="s">
        <v>90</v>
      </c>
      <c r="F452" s="6">
        <v>0.5625</v>
      </c>
      <c r="G452">
        <v>0</v>
      </c>
      <c r="H452" s="6">
        <f>FLOOR(tblPivotData[[#This Row],[Time]],Summary!$B$6/1440)</f>
        <v>0.5625</v>
      </c>
      <c r="I452" s="49">
        <f>INDEX(PeakCalc!$L$10:$L$303,MATCH(tblPivotData[[#This Row],[Time]],PeakCalc!$G$10:$G$303,0))</f>
        <v>1</v>
      </c>
    </row>
    <row r="453" spans="1:9" x14ac:dyDescent="0.25">
      <c r="A453" t="s">
        <v>94</v>
      </c>
      <c r="B453" t="s">
        <v>100</v>
      </c>
      <c r="C453" t="s">
        <v>94</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100</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100</v>
      </c>
      <c r="C455" t="s">
        <v>94</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94</v>
      </c>
      <c r="B456" t="s">
        <v>100</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100</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100</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100</v>
      </c>
      <c r="C459" t="s">
        <v>94</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94</v>
      </c>
      <c r="B460" t="s">
        <v>100</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100</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100</v>
      </c>
      <c r="C462" t="s">
        <v>94</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100</v>
      </c>
      <c r="C463" t="s">
        <v>94</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100</v>
      </c>
      <c r="C464" t="s">
        <v>94</v>
      </c>
      <c r="D464" t="s">
        <v>91</v>
      </c>
      <c r="E464" t="s">
        <v>43</v>
      </c>
      <c r="F464" s="6">
        <v>0.3125</v>
      </c>
      <c r="G464">
        <v>0</v>
      </c>
      <c r="H464" s="6">
        <f>FLOOR(tblPivotData[[#This Row],[Time]],Summary!$B$6/1440)</f>
        <v>0.3125</v>
      </c>
      <c r="I464" s="49">
        <f>INDEX(PeakCalc!$L$10:$L$303,MATCH(tblPivotData[[#This Row],[Time]],PeakCalc!$G$10:$G$303,0))</f>
        <v>0</v>
      </c>
    </row>
    <row r="465" spans="1:9" x14ac:dyDescent="0.25">
      <c r="A465" t="s">
        <v>94</v>
      </c>
      <c r="B465" t="s">
        <v>100</v>
      </c>
      <c r="C465" t="s">
        <v>94</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94</v>
      </c>
      <c r="B466" t="s">
        <v>100</v>
      </c>
      <c r="C466" t="s">
        <v>94</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100</v>
      </c>
      <c r="C467" t="s">
        <v>94</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100</v>
      </c>
      <c r="C468" t="s">
        <v>94</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94</v>
      </c>
      <c r="B469" t="s">
        <v>100</v>
      </c>
      <c r="C469" t="s">
        <v>94</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94</v>
      </c>
      <c r="B470" t="s">
        <v>100</v>
      </c>
      <c r="C470" t="s">
        <v>94</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100</v>
      </c>
      <c r="C471" t="s">
        <v>94</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100</v>
      </c>
      <c r="C472" t="s">
        <v>94</v>
      </c>
      <c r="D472" t="s">
        <v>91</v>
      </c>
      <c r="E472" t="s">
        <v>90</v>
      </c>
      <c r="F472" s="6">
        <v>0.5625</v>
      </c>
      <c r="G472">
        <v>0</v>
      </c>
      <c r="H472" s="6">
        <f>FLOOR(tblPivotData[[#This Row],[Time]],Summary!$B$6/1440)</f>
        <v>0.5625</v>
      </c>
      <c r="I472" s="49">
        <f>INDEX(PeakCalc!$L$10:$L$303,MATCH(tblPivotData[[#This Row],[Time]],PeakCalc!$G$10:$G$303,0))</f>
        <v>1</v>
      </c>
    </row>
    <row r="473" spans="1:9" x14ac:dyDescent="0.25">
      <c r="A473" t="s">
        <v>94</v>
      </c>
      <c r="B473" t="s">
        <v>100</v>
      </c>
      <c r="C473" t="s">
        <v>94</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100</v>
      </c>
      <c r="C474" t="s">
        <v>94</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100</v>
      </c>
      <c r="C475" t="s">
        <v>94</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94</v>
      </c>
      <c r="B476" t="s">
        <v>100</v>
      </c>
      <c r="C476" t="s">
        <v>94</v>
      </c>
      <c r="D476" t="s">
        <v>91</v>
      </c>
      <c r="E476" t="s">
        <v>44</v>
      </c>
      <c r="F476" s="6">
        <v>0.6875</v>
      </c>
      <c r="G476">
        <v>0</v>
      </c>
      <c r="H476" s="6">
        <f>FLOOR(tblPivotData[[#This Row],[Time]],Summary!$B$6/1440)</f>
        <v>0.6875</v>
      </c>
      <c r="I476" s="49">
        <f>INDEX(PeakCalc!$L$10:$L$303,MATCH(tblPivotData[[#This Row],[Time]],PeakCalc!$G$10:$G$303,0))</f>
        <v>1</v>
      </c>
    </row>
    <row r="477" spans="1:9" x14ac:dyDescent="0.25">
      <c r="A477" t="s">
        <v>94</v>
      </c>
      <c r="B477" t="s">
        <v>100</v>
      </c>
      <c r="C477" t="s">
        <v>94</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100</v>
      </c>
      <c r="C478" t="s">
        <v>94</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100</v>
      </c>
      <c r="C479" t="s">
        <v>94</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94</v>
      </c>
      <c r="B480" t="s">
        <v>100</v>
      </c>
      <c r="C480" t="s">
        <v>94</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100</v>
      </c>
      <c r="C481" t="s">
        <v>94</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74</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118</v>
      </c>
      <c r="H483" s="6">
        <f>FLOOR(tblPivotData[[#This Row],[Time]],Summary!$B$6/1440)</f>
        <v>0.30208333333333331</v>
      </c>
      <c r="I483" s="49">
        <f>INDEX(PeakCalc!$L$10:$L$303,MATCH(tblPivotData[[#This Row],[Time]],PeakCalc!$G$10:$G$303,0))</f>
        <v>0</v>
      </c>
    </row>
    <row r="484" spans="1:9" x14ac:dyDescent="0.25">
      <c r="A484" t="s">
        <v>95</v>
      </c>
      <c r="B484" t="s">
        <v>104</v>
      </c>
      <c r="C484" t="s">
        <v>96</v>
      </c>
      <c r="D484" t="s">
        <v>79</v>
      </c>
      <c r="E484" t="s">
        <v>43</v>
      </c>
      <c r="F484" s="6">
        <v>0.3125</v>
      </c>
      <c r="G484">
        <v>112</v>
      </c>
      <c r="H484" s="6">
        <f>FLOOR(tblPivotData[[#This Row],[Time]],Summary!$B$6/1440)</f>
        <v>0.3125</v>
      </c>
      <c r="I484" s="49">
        <f>INDEX(PeakCalc!$L$10:$L$303,MATCH(tblPivotData[[#This Row],[Time]],PeakCalc!$G$10:$G$303,0))</f>
        <v>0</v>
      </c>
    </row>
    <row r="485" spans="1:9" x14ac:dyDescent="0.25">
      <c r="A485" t="s">
        <v>95</v>
      </c>
      <c r="B485" t="s">
        <v>104</v>
      </c>
      <c r="C485" t="s">
        <v>96</v>
      </c>
      <c r="D485" t="s">
        <v>79</v>
      </c>
      <c r="E485" t="s">
        <v>43</v>
      </c>
      <c r="F485" s="6">
        <v>0.32291666666666669</v>
      </c>
      <c r="G485">
        <v>116</v>
      </c>
      <c r="H485" s="6">
        <f>FLOOR(tblPivotData[[#This Row],[Time]],Summary!$B$6/1440)</f>
        <v>0.32291666666666663</v>
      </c>
      <c r="I485" s="49">
        <f>INDEX(PeakCalc!$L$10:$L$303,MATCH(tblPivotData[[#This Row],[Time]],PeakCalc!$G$10:$G$303,0))</f>
        <v>1</v>
      </c>
    </row>
    <row r="486" spans="1:9" x14ac:dyDescent="0.25">
      <c r="A486" t="s">
        <v>95</v>
      </c>
      <c r="B486" t="s">
        <v>104</v>
      </c>
      <c r="C486" t="s">
        <v>96</v>
      </c>
      <c r="D486" t="s">
        <v>79</v>
      </c>
      <c r="E486" t="s">
        <v>43</v>
      </c>
      <c r="F486" s="6">
        <v>0.33333333333333331</v>
      </c>
      <c r="G486">
        <v>129</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119</v>
      </c>
      <c r="H487" s="6">
        <f>FLOOR(tblPivotData[[#This Row],[Time]],Summary!$B$6/1440)</f>
        <v>0.34375</v>
      </c>
      <c r="I487" s="49">
        <f>INDEX(PeakCalc!$L$10:$L$303,MATCH(tblPivotData[[#This Row],[Time]],PeakCalc!$G$10:$G$303,0))</f>
        <v>1</v>
      </c>
    </row>
    <row r="488" spans="1:9" x14ac:dyDescent="0.25">
      <c r="A488" t="s">
        <v>95</v>
      </c>
      <c r="B488" t="s">
        <v>104</v>
      </c>
      <c r="C488" t="s">
        <v>96</v>
      </c>
      <c r="D488" t="s">
        <v>79</v>
      </c>
      <c r="E488" t="s">
        <v>43</v>
      </c>
      <c r="F488" s="6">
        <v>0.35416666666666669</v>
      </c>
      <c r="G488">
        <v>112</v>
      </c>
      <c r="H488" s="6">
        <f>FLOOR(tblPivotData[[#This Row],[Time]],Summary!$B$6/1440)</f>
        <v>0.35416666666666663</v>
      </c>
      <c r="I488" s="49">
        <f>INDEX(PeakCalc!$L$10:$L$303,MATCH(tblPivotData[[#This Row],[Time]],PeakCalc!$G$10:$G$303,0))</f>
        <v>1</v>
      </c>
    </row>
    <row r="489" spans="1:9" x14ac:dyDescent="0.25">
      <c r="A489" t="s">
        <v>95</v>
      </c>
      <c r="B489" t="s">
        <v>104</v>
      </c>
      <c r="C489" t="s">
        <v>96</v>
      </c>
      <c r="D489" t="s">
        <v>79</v>
      </c>
      <c r="E489" t="s">
        <v>43</v>
      </c>
      <c r="F489" s="6">
        <v>0.36458333333333331</v>
      </c>
      <c r="G489">
        <v>98</v>
      </c>
      <c r="H489" s="6">
        <f>FLOOR(tblPivotData[[#This Row],[Time]],Summary!$B$6/1440)</f>
        <v>0.36458333333333331</v>
      </c>
      <c r="I489" s="49">
        <f>INDEX(PeakCalc!$L$10:$L$303,MATCH(tblPivotData[[#This Row],[Time]],PeakCalc!$G$10:$G$303,0))</f>
        <v>0</v>
      </c>
    </row>
    <row r="490" spans="1:9" x14ac:dyDescent="0.25">
      <c r="A490" t="s">
        <v>95</v>
      </c>
      <c r="B490" t="s">
        <v>104</v>
      </c>
      <c r="C490" t="s">
        <v>96</v>
      </c>
      <c r="D490" t="s">
        <v>79</v>
      </c>
      <c r="E490" t="s">
        <v>90</v>
      </c>
      <c r="F490" s="6">
        <v>0.54166666666666663</v>
      </c>
      <c r="G490">
        <v>83</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90</v>
      </c>
      <c r="F491" s="6">
        <v>0.55208333333333337</v>
      </c>
      <c r="G491">
        <v>87</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90</v>
      </c>
      <c r="F492" s="6">
        <v>0.5625</v>
      </c>
      <c r="G492">
        <v>85</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90</v>
      </c>
      <c r="F493" s="6">
        <v>0.57291666666666663</v>
      </c>
      <c r="G493">
        <v>80</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63</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102</v>
      </c>
      <c r="H495" s="6">
        <f>FLOOR(tblPivotData[[#This Row],[Time]],Summary!$B$6/1440)</f>
        <v>0.67708333333333326</v>
      </c>
      <c r="I495" s="49">
        <f>INDEX(PeakCalc!$L$10:$L$303,MATCH(tblPivotData[[#This Row],[Time]],PeakCalc!$G$10:$G$303,0))</f>
        <v>1</v>
      </c>
    </row>
    <row r="496" spans="1:9" x14ac:dyDescent="0.25">
      <c r="A496" t="s">
        <v>95</v>
      </c>
      <c r="B496" t="s">
        <v>104</v>
      </c>
      <c r="C496" t="s">
        <v>96</v>
      </c>
      <c r="D496" t="s">
        <v>79</v>
      </c>
      <c r="E496" t="s">
        <v>44</v>
      </c>
      <c r="F496" s="6">
        <v>0.6875</v>
      </c>
      <c r="G496">
        <v>78</v>
      </c>
      <c r="H496" s="6">
        <f>FLOOR(tblPivotData[[#This Row],[Time]],Summary!$B$6/1440)</f>
        <v>0.6875</v>
      </c>
      <c r="I496" s="49">
        <f>INDEX(PeakCalc!$L$10:$L$303,MATCH(tblPivotData[[#This Row],[Time]],PeakCalc!$G$10:$G$303,0))</f>
        <v>1</v>
      </c>
    </row>
    <row r="497" spans="1:9" x14ac:dyDescent="0.25">
      <c r="A497" t="s">
        <v>95</v>
      </c>
      <c r="B497" t="s">
        <v>104</v>
      </c>
      <c r="C497" t="s">
        <v>96</v>
      </c>
      <c r="D497" t="s">
        <v>79</v>
      </c>
      <c r="E497" t="s">
        <v>44</v>
      </c>
      <c r="F497" s="6">
        <v>0.69791666666666663</v>
      </c>
      <c r="G497">
        <v>72</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69</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60</v>
      </c>
      <c r="H499" s="6">
        <f>FLOOR(tblPivotData[[#This Row],[Time]],Summary!$B$6/1440)</f>
        <v>0.71875</v>
      </c>
      <c r="I499" s="49">
        <f>INDEX(PeakCalc!$L$10:$L$303,MATCH(tblPivotData[[#This Row],[Time]],PeakCalc!$G$10:$G$303,0))</f>
        <v>0</v>
      </c>
    </row>
    <row r="500" spans="1:9" x14ac:dyDescent="0.25">
      <c r="A500" t="s">
        <v>95</v>
      </c>
      <c r="B500" t="s">
        <v>104</v>
      </c>
      <c r="C500" t="s">
        <v>96</v>
      </c>
      <c r="D500" t="s">
        <v>79</v>
      </c>
      <c r="E500" t="s">
        <v>44</v>
      </c>
      <c r="F500" s="6">
        <v>0.72916666666666663</v>
      </c>
      <c r="G500">
        <v>67</v>
      </c>
      <c r="H500" s="6">
        <f>FLOOR(tblPivotData[[#This Row],[Time]],Summary!$B$6/1440)</f>
        <v>0.72916666666666663</v>
      </c>
      <c r="I500" s="49">
        <f>INDEX(PeakCalc!$L$10:$L$303,MATCH(tblPivotData[[#This Row],[Time]],PeakCalc!$G$10:$G$303,0))</f>
        <v>0</v>
      </c>
    </row>
    <row r="501" spans="1:9" x14ac:dyDescent="0.25">
      <c r="A501" t="s">
        <v>95</v>
      </c>
      <c r="B501" t="s">
        <v>104</v>
      </c>
      <c r="C501" t="s">
        <v>96</v>
      </c>
      <c r="D501" t="s">
        <v>79</v>
      </c>
      <c r="E501" t="s">
        <v>44</v>
      </c>
      <c r="F501" s="6">
        <v>0.73958333333333337</v>
      </c>
      <c r="G501">
        <v>63</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11</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9</v>
      </c>
      <c r="H503" s="6">
        <f>FLOOR(tblPivotData[[#This Row],[Time]],Summary!$B$6/1440)</f>
        <v>0.30208333333333331</v>
      </c>
      <c r="I503" s="49">
        <f>INDEX(PeakCalc!$L$10:$L$303,MATCH(tblPivotData[[#This Row],[Time]],PeakCalc!$G$10:$G$303,0))</f>
        <v>0</v>
      </c>
    </row>
    <row r="504" spans="1:9" x14ac:dyDescent="0.25">
      <c r="A504" t="s">
        <v>95</v>
      </c>
      <c r="B504" t="s">
        <v>104</v>
      </c>
      <c r="C504" t="s">
        <v>96</v>
      </c>
      <c r="D504" t="s">
        <v>89</v>
      </c>
      <c r="E504" t="s">
        <v>43</v>
      </c>
      <c r="F504" s="6">
        <v>0.3125</v>
      </c>
      <c r="G504">
        <v>10</v>
      </c>
      <c r="H504" s="6">
        <f>FLOOR(tblPivotData[[#This Row],[Time]],Summary!$B$6/1440)</f>
        <v>0.3125</v>
      </c>
      <c r="I504" s="49">
        <f>INDEX(PeakCalc!$L$10:$L$303,MATCH(tblPivotData[[#This Row],[Time]],PeakCalc!$G$10:$G$303,0))</f>
        <v>0</v>
      </c>
    </row>
    <row r="505" spans="1:9" x14ac:dyDescent="0.25">
      <c r="A505" t="s">
        <v>95</v>
      </c>
      <c r="B505" t="s">
        <v>104</v>
      </c>
      <c r="C505" t="s">
        <v>96</v>
      </c>
      <c r="D505" t="s">
        <v>89</v>
      </c>
      <c r="E505" t="s">
        <v>43</v>
      </c>
      <c r="F505" s="6">
        <v>0.32291666666666669</v>
      </c>
      <c r="G505">
        <v>9</v>
      </c>
      <c r="H505" s="6">
        <f>FLOOR(tblPivotData[[#This Row],[Time]],Summary!$B$6/1440)</f>
        <v>0.32291666666666663</v>
      </c>
      <c r="I505" s="49">
        <f>INDEX(PeakCalc!$L$10:$L$303,MATCH(tblPivotData[[#This Row],[Time]],PeakCalc!$G$10:$G$303,0))</f>
        <v>1</v>
      </c>
    </row>
    <row r="506" spans="1:9" x14ac:dyDescent="0.25">
      <c r="A506" t="s">
        <v>95</v>
      </c>
      <c r="B506" t="s">
        <v>104</v>
      </c>
      <c r="C506" t="s">
        <v>96</v>
      </c>
      <c r="D506" t="s">
        <v>89</v>
      </c>
      <c r="E506" t="s">
        <v>43</v>
      </c>
      <c r="F506" s="6">
        <v>0.33333333333333331</v>
      </c>
      <c r="G506">
        <v>15</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12</v>
      </c>
      <c r="H507" s="6">
        <f>FLOOR(tblPivotData[[#This Row],[Time]],Summary!$B$6/1440)</f>
        <v>0.34375</v>
      </c>
      <c r="I507" s="49">
        <f>INDEX(PeakCalc!$L$10:$L$303,MATCH(tblPivotData[[#This Row],[Time]],PeakCalc!$G$10:$G$303,0))</f>
        <v>1</v>
      </c>
    </row>
    <row r="508" spans="1:9" x14ac:dyDescent="0.25">
      <c r="A508" t="s">
        <v>95</v>
      </c>
      <c r="B508" t="s">
        <v>104</v>
      </c>
      <c r="C508" t="s">
        <v>96</v>
      </c>
      <c r="D508" t="s">
        <v>89</v>
      </c>
      <c r="E508" t="s">
        <v>43</v>
      </c>
      <c r="F508" s="6">
        <v>0.35416666666666669</v>
      </c>
      <c r="G508">
        <v>11</v>
      </c>
      <c r="H508" s="6">
        <f>FLOOR(tblPivotData[[#This Row],[Time]],Summary!$B$6/1440)</f>
        <v>0.35416666666666663</v>
      </c>
      <c r="I508" s="49">
        <f>INDEX(PeakCalc!$L$10:$L$303,MATCH(tblPivotData[[#This Row],[Time]],PeakCalc!$G$10:$G$303,0))</f>
        <v>1</v>
      </c>
    </row>
    <row r="509" spans="1:9" x14ac:dyDescent="0.25">
      <c r="A509" t="s">
        <v>95</v>
      </c>
      <c r="B509" t="s">
        <v>104</v>
      </c>
      <c r="C509" t="s">
        <v>96</v>
      </c>
      <c r="D509" t="s">
        <v>89</v>
      </c>
      <c r="E509" t="s">
        <v>43</v>
      </c>
      <c r="F509" s="6">
        <v>0.36458333333333331</v>
      </c>
      <c r="G509">
        <v>15</v>
      </c>
      <c r="H509" s="6">
        <f>FLOOR(tblPivotData[[#This Row],[Time]],Summary!$B$6/1440)</f>
        <v>0.36458333333333331</v>
      </c>
      <c r="I509" s="49">
        <f>INDEX(PeakCalc!$L$10:$L$303,MATCH(tblPivotData[[#This Row],[Time]],PeakCalc!$G$10:$G$303,0))</f>
        <v>0</v>
      </c>
    </row>
    <row r="510" spans="1:9" x14ac:dyDescent="0.25">
      <c r="A510" t="s">
        <v>95</v>
      </c>
      <c r="B510" t="s">
        <v>104</v>
      </c>
      <c r="C510" t="s">
        <v>96</v>
      </c>
      <c r="D510" t="s">
        <v>89</v>
      </c>
      <c r="E510" t="s">
        <v>90</v>
      </c>
      <c r="F510" s="6">
        <v>0.54166666666666663</v>
      </c>
      <c r="G510">
        <v>12</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90</v>
      </c>
      <c r="F511" s="6">
        <v>0.55208333333333337</v>
      </c>
      <c r="G511">
        <v>9</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90</v>
      </c>
      <c r="F512" s="6">
        <v>0.5625</v>
      </c>
      <c r="G512">
        <v>11</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90</v>
      </c>
      <c r="F513" s="6">
        <v>0.57291666666666663</v>
      </c>
      <c r="G513">
        <v>6</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14</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6</v>
      </c>
      <c r="H515" s="6">
        <f>FLOOR(tblPivotData[[#This Row],[Time]],Summary!$B$6/1440)</f>
        <v>0.67708333333333326</v>
      </c>
      <c r="I515" s="49">
        <f>INDEX(PeakCalc!$L$10:$L$303,MATCH(tblPivotData[[#This Row],[Time]],PeakCalc!$G$10:$G$303,0))</f>
        <v>1</v>
      </c>
    </row>
    <row r="516" spans="1:9" x14ac:dyDescent="0.25">
      <c r="A516" t="s">
        <v>95</v>
      </c>
      <c r="B516" t="s">
        <v>104</v>
      </c>
      <c r="C516" t="s">
        <v>96</v>
      </c>
      <c r="D516" t="s">
        <v>89</v>
      </c>
      <c r="E516" t="s">
        <v>44</v>
      </c>
      <c r="F516" s="6">
        <v>0.6875</v>
      </c>
      <c r="G516">
        <v>9</v>
      </c>
      <c r="H516" s="6">
        <f>FLOOR(tblPivotData[[#This Row],[Time]],Summary!$B$6/1440)</f>
        <v>0.6875</v>
      </c>
      <c r="I516" s="49">
        <f>INDEX(PeakCalc!$L$10:$L$303,MATCH(tblPivotData[[#This Row],[Time]],PeakCalc!$G$10:$G$303,0))</f>
        <v>1</v>
      </c>
    </row>
    <row r="517" spans="1:9" x14ac:dyDescent="0.25">
      <c r="A517" t="s">
        <v>95</v>
      </c>
      <c r="B517" t="s">
        <v>104</v>
      </c>
      <c r="C517" t="s">
        <v>96</v>
      </c>
      <c r="D517" t="s">
        <v>89</v>
      </c>
      <c r="E517" t="s">
        <v>44</v>
      </c>
      <c r="F517" s="6">
        <v>0.69791666666666663</v>
      </c>
      <c r="G517">
        <v>4</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8</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8</v>
      </c>
      <c r="H519" s="6">
        <f>FLOOR(tblPivotData[[#This Row],[Time]],Summary!$B$6/1440)</f>
        <v>0.71875</v>
      </c>
      <c r="I519" s="49">
        <f>INDEX(PeakCalc!$L$10:$L$303,MATCH(tblPivotData[[#This Row],[Time]],PeakCalc!$G$10:$G$303,0))</f>
        <v>0</v>
      </c>
    </row>
    <row r="520" spans="1:9" x14ac:dyDescent="0.25">
      <c r="A520" t="s">
        <v>95</v>
      </c>
      <c r="B520" t="s">
        <v>104</v>
      </c>
      <c r="C520" t="s">
        <v>96</v>
      </c>
      <c r="D520" t="s">
        <v>89</v>
      </c>
      <c r="E520" t="s">
        <v>44</v>
      </c>
      <c r="F520" s="6">
        <v>0.72916666666666663</v>
      </c>
      <c r="G520">
        <v>6</v>
      </c>
      <c r="H520" s="6">
        <f>FLOOR(tblPivotData[[#This Row],[Time]],Summary!$B$6/1440)</f>
        <v>0.72916666666666663</v>
      </c>
      <c r="I520" s="49">
        <f>INDEX(PeakCalc!$L$10:$L$303,MATCH(tblPivotData[[#This Row],[Time]],PeakCalc!$G$10:$G$303,0))</f>
        <v>0</v>
      </c>
    </row>
    <row r="521" spans="1:9" x14ac:dyDescent="0.25">
      <c r="A521" t="s">
        <v>95</v>
      </c>
      <c r="B521" t="s">
        <v>104</v>
      </c>
      <c r="C521" t="s">
        <v>96</v>
      </c>
      <c r="D521" t="s">
        <v>89</v>
      </c>
      <c r="E521" t="s">
        <v>44</v>
      </c>
      <c r="F521" s="6">
        <v>0.73958333333333337</v>
      </c>
      <c r="G521">
        <v>3</v>
      </c>
      <c r="H521" s="6">
        <f>FLOOR(tblPivotData[[#This Row],[Time]],Summary!$B$6/1440)</f>
        <v>0.73958333333333326</v>
      </c>
      <c r="I521" s="49">
        <f>INDEX(PeakCalc!$L$10:$L$303,MATCH(tblPivotData[[#This Row],[Time]],PeakCalc!$G$10:$G$303,0))</f>
        <v>0</v>
      </c>
    </row>
    <row r="522" spans="1:9" x14ac:dyDescent="0.25">
      <c r="A522" t="s">
        <v>95</v>
      </c>
      <c r="B522" t="s">
        <v>104</v>
      </c>
      <c r="C522" t="s">
        <v>96</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96</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96</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96</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104</v>
      </c>
      <c r="C526" t="s">
        <v>96</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96</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96</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104</v>
      </c>
      <c r="C530" t="s">
        <v>96</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96</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96</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104</v>
      </c>
      <c r="C536" t="s">
        <v>96</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96</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104</v>
      </c>
      <c r="C540" t="s">
        <v>96</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96</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174</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209</v>
      </c>
      <c r="H543" s="6">
        <f>FLOOR(tblPivotData[[#This Row],[Time]],Summary!$B$6/1440)</f>
        <v>0.30208333333333331</v>
      </c>
      <c r="I543" s="49">
        <f>INDEX(PeakCalc!$L$10:$L$303,MATCH(tblPivotData[[#This Row],[Time]],PeakCalc!$G$10:$G$303,0))</f>
        <v>0</v>
      </c>
    </row>
    <row r="544" spans="1:9" x14ac:dyDescent="0.25">
      <c r="A544" t="s">
        <v>95</v>
      </c>
      <c r="B544" t="s">
        <v>105</v>
      </c>
      <c r="C544" t="s">
        <v>93</v>
      </c>
      <c r="D544" t="s">
        <v>79</v>
      </c>
      <c r="E544" t="s">
        <v>43</v>
      </c>
      <c r="F544" s="6">
        <v>0.3125</v>
      </c>
      <c r="G544">
        <v>287</v>
      </c>
      <c r="H544" s="6">
        <f>FLOOR(tblPivotData[[#This Row],[Time]],Summary!$B$6/1440)</f>
        <v>0.3125</v>
      </c>
      <c r="I544" s="49">
        <f>INDEX(PeakCalc!$L$10:$L$303,MATCH(tblPivotData[[#This Row],[Time]],PeakCalc!$G$10:$G$303,0))</f>
        <v>0</v>
      </c>
    </row>
    <row r="545" spans="1:9" x14ac:dyDescent="0.25">
      <c r="A545" t="s">
        <v>95</v>
      </c>
      <c r="B545" t="s">
        <v>105</v>
      </c>
      <c r="C545" t="s">
        <v>93</v>
      </c>
      <c r="D545" t="s">
        <v>79</v>
      </c>
      <c r="E545" t="s">
        <v>43</v>
      </c>
      <c r="F545" s="6">
        <v>0.32291666666666669</v>
      </c>
      <c r="G545">
        <v>265</v>
      </c>
      <c r="H545" s="6">
        <f>FLOOR(tblPivotData[[#This Row],[Time]],Summary!$B$6/1440)</f>
        <v>0.32291666666666663</v>
      </c>
      <c r="I545" s="49">
        <f>INDEX(PeakCalc!$L$10:$L$303,MATCH(tblPivotData[[#This Row],[Time]],PeakCalc!$G$10:$G$303,0))</f>
        <v>1</v>
      </c>
    </row>
    <row r="546" spans="1:9" x14ac:dyDescent="0.25">
      <c r="A546" t="s">
        <v>95</v>
      </c>
      <c r="B546" t="s">
        <v>105</v>
      </c>
      <c r="C546" t="s">
        <v>93</v>
      </c>
      <c r="D546" t="s">
        <v>79</v>
      </c>
      <c r="E546" t="s">
        <v>43</v>
      </c>
      <c r="F546" s="6">
        <v>0.33333333333333331</v>
      </c>
      <c r="G546">
        <v>308</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325</v>
      </c>
      <c r="H547" s="6">
        <f>FLOOR(tblPivotData[[#This Row],[Time]],Summary!$B$6/1440)</f>
        <v>0.34375</v>
      </c>
      <c r="I547" s="49">
        <f>INDEX(PeakCalc!$L$10:$L$303,MATCH(tblPivotData[[#This Row],[Time]],PeakCalc!$G$10:$G$303,0))</f>
        <v>1</v>
      </c>
    </row>
    <row r="548" spans="1:9" x14ac:dyDescent="0.25">
      <c r="A548" t="s">
        <v>95</v>
      </c>
      <c r="B548" t="s">
        <v>105</v>
      </c>
      <c r="C548" t="s">
        <v>93</v>
      </c>
      <c r="D548" t="s">
        <v>79</v>
      </c>
      <c r="E548" t="s">
        <v>43</v>
      </c>
      <c r="F548" s="6">
        <v>0.35416666666666669</v>
      </c>
      <c r="G548">
        <v>305</v>
      </c>
      <c r="H548" s="6">
        <f>FLOOR(tblPivotData[[#This Row],[Time]],Summary!$B$6/1440)</f>
        <v>0.35416666666666663</v>
      </c>
      <c r="I548" s="49">
        <f>INDEX(PeakCalc!$L$10:$L$303,MATCH(tblPivotData[[#This Row],[Time]],PeakCalc!$G$10:$G$303,0))</f>
        <v>1</v>
      </c>
    </row>
    <row r="549" spans="1:9" x14ac:dyDescent="0.25">
      <c r="A549" t="s">
        <v>95</v>
      </c>
      <c r="B549" t="s">
        <v>105</v>
      </c>
      <c r="C549" t="s">
        <v>93</v>
      </c>
      <c r="D549" t="s">
        <v>79</v>
      </c>
      <c r="E549" t="s">
        <v>43</v>
      </c>
      <c r="F549" s="6">
        <v>0.36458333333333331</v>
      </c>
      <c r="G549">
        <v>253</v>
      </c>
      <c r="H549" s="6">
        <f>FLOOR(tblPivotData[[#This Row],[Time]],Summary!$B$6/1440)</f>
        <v>0.36458333333333331</v>
      </c>
      <c r="I549" s="49">
        <f>INDEX(PeakCalc!$L$10:$L$303,MATCH(tblPivotData[[#This Row],[Time]],PeakCalc!$G$10:$G$303,0))</f>
        <v>0</v>
      </c>
    </row>
    <row r="550" spans="1:9" x14ac:dyDescent="0.25">
      <c r="A550" t="s">
        <v>95</v>
      </c>
      <c r="B550" t="s">
        <v>105</v>
      </c>
      <c r="C550" t="s">
        <v>93</v>
      </c>
      <c r="D550" t="s">
        <v>79</v>
      </c>
      <c r="E550" t="s">
        <v>90</v>
      </c>
      <c r="F550" s="6">
        <v>0.54166666666666663</v>
      </c>
      <c r="G550">
        <v>240</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90</v>
      </c>
      <c r="F551" s="6">
        <v>0.55208333333333337</v>
      </c>
      <c r="G551">
        <v>206</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90</v>
      </c>
      <c r="F552" s="6">
        <v>0.5625</v>
      </c>
      <c r="G552">
        <v>265</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90</v>
      </c>
      <c r="F553" s="6">
        <v>0.57291666666666663</v>
      </c>
      <c r="G553">
        <v>246</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333</v>
      </c>
      <c r="H554" s="6">
        <f>FLOOR(tblPivotData[[#This Row],[Time]],Summary!$B$6/1440)</f>
        <v>0.66666666666666663</v>
      </c>
      <c r="I554" s="49">
        <f>INDEX(PeakCalc!$L$10:$L$303,MATCH(tblPivotData[[#This Row],[Time]],PeakCalc!$G$10:$G$303,0))</f>
        <v>0</v>
      </c>
    </row>
    <row r="555" spans="1:9" x14ac:dyDescent="0.25">
      <c r="A555" t="s">
        <v>95</v>
      </c>
      <c r="B555" t="s">
        <v>105</v>
      </c>
      <c r="C555" t="s">
        <v>93</v>
      </c>
      <c r="D555" t="s">
        <v>79</v>
      </c>
      <c r="E555" t="s">
        <v>44</v>
      </c>
      <c r="F555" s="6">
        <v>0.67708333333333337</v>
      </c>
      <c r="G555">
        <v>307</v>
      </c>
      <c r="H555" s="6">
        <f>FLOOR(tblPivotData[[#This Row],[Time]],Summary!$B$6/1440)</f>
        <v>0.67708333333333326</v>
      </c>
      <c r="I555" s="49">
        <f>INDEX(PeakCalc!$L$10:$L$303,MATCH(tblPivotData[[#This Row],[Time]],PeakCalc!$G$10:$G$303,0))</f>
        <v>1</v>
      </c>
    </row>
    <row r="556" spans="1:9" x14ac:dyDescent="0.25">
      <c r="A556" t="s">
        <v>95</v>
      </c>
      <c r="B556" t="s">
        <v>105</v>
      </c>
      <c r="C556" t="s">
        <v>93</v>
      </c>
      <c r="D556" t="s">
        <v>79</v>
      </c>
      <c r="E556" t="s">
        <v>44</v>
      </c>
      <c r="F556" s="6">
        <v>0.6875</v>
      </c>
      <c r="G556">
        <v>301</v>
      </c>
      <c r="H556" s="6">
        <f>FLOOR(tblPivotData[[#This Row],[Time]],Summary!$B$6/1440)</f>
        <v>0.6875</v>
      </c>
      <c r="I556" s="49">
        <f>INDEX(PeakCalc!$L$10:$L$303,MATCH(tblPivotData[[#This Row],[Time]],PeakCalc!$G$10:$G$303,0))</f>
        <v>1</v>
      </c>
    </row>
    <row r="557" spans="1:9" x14ac:dyDescent="0.25">
      <c r="A557" t="s">
        <v>95</v>
      </c>
      <c r="B557" t="s">
        <v>105</v>
      </c>
      <c r="C557" t="s">
        <v>93</v>
      </c>
      <c r="D557" t="s">
        <v>79</v>
      </c>
      <c r="E557" t="s">
        <v>44</v>
      </c>
      <c r="F557" s="6">
        <v>0.69791666666666663</v>
      </c>
      <c r="G557">
        <v>294</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353</v>
      </c>
      <c r="H558" s="6">
        <f>FLOOR(tblPivotData[[#This Row],[Time]],Summary!$B$6/1440)</f>
        <v>0.70833333333333326</v>
      </c>
      <c r="I558" s="49">
        <f>INDEX(PeakCalc!$L$10:$L$303,MATCH(tblPivotData[[#This Row],[Time]],PeakCalc!$G$10:$G$303,0))</f>
        <v>1</v>
      </c>
    </row>
    <row r="559" spans="1:9" x14ac:dyDescent="0.25">
      <c r="A559" t="s">
        <v>95</v>
      </c>
      <c r="B559" t="s">
        <v>105</v>
      </c>
      <c r="C559" t="s">
        <v>93</v>
      </c>
      <c r="D559" t="s">
        <v>79</v>
      </c>
      <c r="E559" t="s">
        <v>44</v>
      </c>
      <c r="F559" s="6">
        <v>0.71875</v>
      </c>
      <c r="G559">
        <v>278</v>
      </c>
      <c r="H559" s="6">
        <f>FLOOR(tblPivotData[[#This Row],[Time]],Summary!$B$6/1440)</f>
        <v>0.71875</v>
      </c>
      <c r="I559" s="49">
        <f>INDEX(PeakCalc!$L$10:$L$303,MATCH(tblPivotData[[#This Row],[Time]],PeakCalc!$G$10:$G$303,0))</f>
        <v>0</v>
      </c>
    </row>
    <row r="560" spans="1:9" x14ac:dyDescent="0.25">
      <c r="A560" t="s">
        <v>95</v>
      </c>
      <c r="B560" t="s">
        <v>105</v>
      </c>
      <c r="C560" t="s">
        <v>93</v>
      </c>
      <c r="D560" t="s">
        <v>79</v>
      </c>
      <c r="E560" t="s">
        <v>44</v>
      </c>
      <c r="F560" s="6">
        <v>0.72916666666666663</v>
      </c>
      <c r="G560">
        <v>305</v>
      </c>
      <c r="H560" s="6">
        <f>FLOOR(tblPivotData[[#This Row],[Time]],Summary!$B$6/1440)</f>
        <v>0.72916666666666663</v>
      </c>
      <c r="I560" s="49">
        <f>INDEX(PeakCalc!$L$10:$L$303,MATCH(tblPivotData[[#This Row],[Time]],PeakCalc!$G$10:$G$303,0))</f>
        <v>0</v>
      </c>
    </row>
    <row r="561" spans="1:9" x14ac:dyDescent="0.25">
      <c r="A561" t="s">
        <v>95</v>
      </c>
      <c r="B561" t="s">
        <v>105</v>
      </c>
      <c r="C561" t="s">
        <v>93</v>
      </c>
      <c r="D561" t="s">
        <v>79</v>
      </c>
      <c r="E561" t="s">
        <v>44</v>
      </c>
      <c r="F561" s="6">
        <v>0.73958333333333337</v>
      </c>
      <c r="G561">
        <v>253</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8</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9</v>
      </c>
      <c r="H563" s="6">
        <f>FLOOR(tblPivotData[[#This Row],[Time]],Summary!$B$6/1440)</f>
        <v>0.30208333333333331</v>
      </c>
      <c r="I563" s="49">
        <f>INDEX(PeakCalc!$L$10:$L$303,MATCH(tblPivotData[[#This Row],[Time]],PeakCalc!$G$10:$G$303,0))</f>
        <v>0</v>
      </c>
    </row>
    <row r="564" spans="1:9" x14ac:dyDescent="0.25">
      <c r="A564" t="s">
        <v>95</v>
      </c>
      <c r="B564" t="s">
        <v>105</v>
      </c>
      <c r="C564" t="s">
        <v>93</v>
      </c>
      <c r="D564" t="s">
        <v>89</v>
      </c>
      <c r="E564" t="s">
        <v>43</v>
      </c>
      <c r="F564" s="6">
        <v>0.3125</v>
      </c>
      <c r="G564">
        <v>12</v>
      </c>
      <c r="H564" s="6">
        <f>FLOOR(tblPivotData[[#This Row],[Time]],Summary!$B$6/1440)</f>
        <v>0.3125</v>
      </c>
      <c r="I564" s="49">
        <f>INDEX(PeakCalc!$L$10:$L$303,MATCH(tblPivotData[[#This Row],[Time]],PeakCalc!$G$10:$G$303,0))</f>
        <v>0</v>
      </c>
    </row>
    <row r="565" spans="1:9" x14ac:dyDescent="0.25">
      <c r="A565" t="s">
        <v>95</v>
      </c>
      <c r="B565" t="s">
        <v>105</v>
      </c>
      <c r="C565" t="s">
        <v>93</v>
      </c>
      <c r="D565" t="s">
        <v>89</v>
      </c>
      <c r="E565" t="s">
        <v>43</v>
      </c>
      <c r="F565" s="6">
        <v>0.32291666666666669</v>
      </c>
      <c r="G565">
        <v>9</v>
      </c>
      <c r="H565" s="6">
        <f>FLOOR(tblPivotData[[#This Row],[Time]],Summary!$B$6/1440)</f>
        <v>0.32291666666666663</v>
      </c>
      <c r="I565" s="49">
        <f>INDEX(PeakCalc!$L$10:$L$303,MATCH(tblPivotData[[#This Row],[Time]],PeakCalc!$G$10:$G$303,0))</f>
        <v>1</v>
      </c>
    </row>
    <row r="566" spans="1:9" x14ac:dyDescent="0.25">
      <c r="A566" t="s">
        <v>95</v>
      </c>
      <c r="B566" t="s">
        <v>105</v>
      </c>
      <c r="C566" t="s">
        <v>93</v>
      </c>
      <c r="D566" t="s">
        <v>89</v>
      </c>
      <c r="E566" t="s">
        <v>43</v>
      </c>
      <c r="F566" s="6">
        <v>0.33333333333333331</v>
      </c>
      <c r="G566">
        <v>18</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13</v>
      </c>
      <c r="H567" s="6">
        <f>FLOOR(tblPivotData[[#This Row],[Time]],Summary!$B$6/1440)</f>
        <v>0.34375</v>
      </c>
      <c r="I567" s="49">
        <f>INDEX(PeakCalc!$L$10:$L$303,MATCH(tblPivotData[[#This Row],[Time]],PeakCalc!$G$10:$G$303,0))</f>
        <v>1</v>
      </c>
    </row>
    <row r="568" spans="1:9" x14ac:dyDescent="0.25">
      <c r="A568" t="s">
        <v>95</v>
      </c>
      <c r="B568" t="s">
        <v>105</v>
      </c>
      <c r="C568" t="s">
        <v>93</v>
      </c>
      <c r="D568" t="s">
        <v>89</v>
      </c>
      <c r="E568" t="s">
        <v>43</v>
      </c>
      <c r="F568" s="6">
        <v>0.35416666666666669</v>
      </c>
      <c r="G568">
        <v>14</v>
      </c>
      <c r="H568" s="6">
        <f>FLOOR(tblPivotData[[#This Row],[Time]],Summary!$B$6/1440)</f>
        <v>0.35416666666666663</v>
      </c>
      <c r="I568" s="49">
        <f>INDEX(PeakCalc!$L$10:$L$303,MATCH(tblPivotData[[#This Row],[Time]],PeakCalc!$G$10:$G$303,0))</f>
        <v>1</v>
      </c>
    </row>
    <row r="569" spans="1:9" x14ac:dyDescent="0.25">
      <c r="A569" t="s">
        <v>95</v>
      </c>
      <c r="B569" t="s">
        <v>105</v>
      </c>
      <c r="C569" t="s">
        <v>93</v>
      </c>
      <c r="D569" t="s">
        <v>89</v>
      </c>
      <c r="E569" t="s">
        <v>43</v>
      </c>
      <c r="F569" s="6">
        <v>0.36458333333333331</v>
      </c>
      <c r="G569">
        <v>9</v>
      </c>
      <c r="H569" s="6">
        <f>FLOOR(tblPivotData[[#This Row],[Time]],Summary!$B$6/1440)</f>
        <v>0.36458333333333331</v>
      </c>
      <c r="I569" s="49">
        <f>INDEX(PeakCalc!$L$10:$L$303,MATCH(tblPivotData[[#This Row],[Time]],PeakCalc!$G$10:$G$303,0))</f>
        <v>0</v>
      </c>
    </row>
    <row r="570" spans="1:9" x14ac:dyDescent="0.25">
      <c r="A570" t="s">
        <v>95</v>
      </c>
      <c r="B570" t="s">
        <v>105</v>
      </c>
      <c r="C570" t="s">
        <v>93</v>
      </c>
      <c r="D570" t="s">
        <v>89</v>
      </c>
      <c r="E570" t="s">
        <v>90</v>
      </c>
      <c r="F570" s="6">
        <v>0.54166666666666663</v>
      </c>
      <c r="G570">
        <v>8</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90</v>
      </c>
      <c r="F571" s="6">
        <v>0.55208333333333337</v>
      </c>
      <c r="G571">
        <v>10</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90</v>
      </c>
      <c r="F572" s="6">
        <v>0.5625</v>
      </c>
      <c r="G572">
        <v>11</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90</v>
      </c>
      <c r="F573" s="6">
        <v>0.57291666666666663</v>
      </c>
      <c r="G573">
        <v>13</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8</v>
      </c>
      <c r="H574" s="6">
        <f>FLOOR(tblPivotData[[#This Row],[Time]],Summary!$B$6/1440)</f>
        <v>0.66666666666666663</v>
      </c>
      <c r="I574" s="49">
        <f>INDEX(PeakCalc!$L$10:$L$303,MATCH(tblPivotData[[#This Row],[Time]],PeakCalc!$G$10:$G$303,0))</f>
        <v>0</v>
      </c>
    </row>
    <row r="575" spans="1:9" x14ac:dyDescent="0.25">
      <c r="A575" t="s">
        <v>95</v>
      </c>
      <c r="B575" t="s">
        <v>105</v>
      </c>
      <c r="C575" t="s">
        <v>93</v>
      </c>
      <c r="D575" t="s">
        <v>89</v>
      </c>
      <c r="E575" t="s">
        <v>44</v>
      </c>
      <c r="F575" s="6">
        <v>0.67708333333333337</v>
      </c>
      <c r="G575">
        <v>10</v>
      </c>
      <c r="H575" s="6">
        <f>FLOOR(tblPivotData[[#This Row],[Time]],Summary!$B$6/1440)</f>
        <v>0.67708333333333326</v>
      </c>
      <c r="I575" s="49">
        <f>INDEX(PeakCalc!$L$10:$L$303,MATCH(tblPivotData[[#This Row],[Time]],PeakCalc!$G$10:$G$303,0))</f>
        <v>1</v>
      </c>
    </row>
    <row r="576" spans="1:9" x14ac:dyDescent="0.25">
      <c r="A576" t="s">
        <v>95</v>
      </c>
      <c r="B576" t="s">
        <v>105</v>
      </c>
      <c r="C576" t="s">
        <v>93</v>
      </c>
      <c r="D576" t="s">
        <v>89</v>
      </c>
      <c r="E576" t="s">
        <v>44</v>
      </c>
      <c r="F576" s="6">
        <v>0.6875</v>
      </c>
      <c r="G576">
        <v>12</v>
      </c>
      <c r="H576" s="6">
        <f>FLOOR(tblPivotData[[#This Row],[Time]],Summary!$B$6/1440)</f>
        <v>0.6875</v>
      </c>
      <c r="I576" s="49">
        <f>INDEX(PeakCalc!$L$10:$L$303,MATCH(tblPivotData[[#This Row],[Time]],PeakCalc!$G$10:$G$303,0))</f>
        <v>1</v>
      </c>
    </row>
    <row r="577" spans="1:9" x14ac:dyDescent="0.25">
      <c r="A577" t="s">
        <v>95</v>
      </c>
      <c r="B577" t="s">
        <v>105</v>
      </c>
      <c r="C577" t="s">
        <v>93</v>
      </c>
      <c r="D577" t="s">
        <v>89</v>
      </c>
      <c r="E577" t="s">
        <v>44</v>
      </c>
      <c r="F577" s="6">
        <v>0.69791666666666663</v>
      </c>
      <c r="G577">
        <v>8</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6</v>
      </c>
      <c r="H578" s="6">
        <f>FLOOR(tblPivotData[[#This Row],[Time]],Summary!$B$6/1440)</f>
        <v>0.70833333333333326</v>
      </c>
      <c r="I578" s="49">
        <f>INDEX(PeakCalc!$L$10:$L$303,MATCH(tblPivotData[[#This Row],[Time]],PeakCalc!$G$10:$G$303,0))</f>
        <v>1</v>
      </c>
    </row>
    <row r="579" spans="1:9" x14ac:dyDescent="0.25">
      <c r="A579" t="s">
        <v>95</v>
      </c>
      <c r="B579" t="s">
        <v>105</v>
      </c>
      <c r="C579" t="s">
        <v>93</v>
      </c>
      <c r="D579" t="s">
        <v>89</v>
      </c>
      <c r="E579" t="s">
        <v>44</v>
      </c>
      <c r="F579" s="6">
        <v>0.71875</v>
      </c>
      <c r="G579">
        <v>6</v>
      </c>
      <c r="H579" s="6">
        <f>FLOOR(tblPivotData[[#This Row],[Time]],Summary!$B$6/1440)</f>
        <v>0.71875</v>
      </c>
      <c r="I579" s="49">
        <f>INDEX(PeakCalc!$L$10:$L$303,MATCH(tblPivotData[[#This Row],[Time]],PeakCalc!$G$10:$G$303,0))</f>
        <v>0</v>
      </c>
    </row>
    <row r="580" spans="1:9" x14ac:dyDescent="0.25">
      <c r="A580" t="s">
        <v>95</v>
      </c>
      <c r="B580" t="s">
        <v>105</v>
      </c>
      <c r="C580" t="s">
        <v>93</v>
      </c>
      <c r="D580" t="s">
        <v>89</v>
      </c>
      <c r="E580" t="s">
        <v>44</v>
      </c>
      <c r="F580" s="6">
        <v>0.72916666666666663</v>
      </c>
      <c r="G580">
        <v>5</v>
      </c>
      <c r="H580" s="6">
        <f>FLOOR(tblPivotData[[#This Row],[Time]],Summary!$B$6/1440)</f>
        <v>0.72916666666666663</v>
      </c>
      <c r="I580" s="49">
        <f>INDEX(PeakCalc!$L$10:$L$303,MATCH(tblPivotData[[#This Row],[Time]],PeakCalc!$G$10:$G$303,0))</f>
        <v>0</v>
      </c>
    </row>
    <row r="581" spans="1:9" x14ac:dyDescent="0.25">
      <c r="A581" t="s">
        <v>95</v>
      </c>
      <c r="B581" t="s">
        <v>105</v>
      </c>
      <c r="C581" t="s">
        <v>93</v>
      </c>
      <c r="D581" t="s">
        <v>89</v>
      </c>
      <c r="E581" t="s">
        <v>44</v>
      </c>
      <c r="F581" s="6">
        <v>0.73958333333333337</v>
      </c>
      <c r="G581">
        <v>3</v>
      </c>
      <c r="H581" s="6">
        <f>FLOOR(tblPivotData[[#This Row],[Time]],Summary!$B$6/1440)</f>
        <v>0.73958333333333326</v>
      </c>
      <c r="I581" s="49">
        <f>INDEX(PeakCalc!$L$10:$L$303,MATCH(tblPivotData[[#This Row],[Time]],PeakCalc!$G$10:$G$303,0))</f>
        <v>0</v>
      </c>
    </row>
    <row r="582" spans="1:9" x14ac:dyDescent="0.25">
      <c r="A582" t="s">
        <v>95</v>
      </c>
      <c r="B582" t="s">
        <v>105</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105</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105</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105</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105</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105</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105</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105</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105</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105</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105</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105</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105</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28</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46</v>
      </c>
      <c r="H603" s="6">
        <f>FLOOR(tblPivotData[[#This Row],[Time]],Summary!$B$6/1440)</f>
        <v>0.30208333333333331</v>
      </c>
      <c r="I603" s="49">
        <f>INDEX(PeakCalc!$L$10:$L$303,MATCH(tblPivotData[[#This Row],[Time]],PeakCalc!$G$10:$G$303,0))</f>
        <v>0</v>
      </c>
    </row>
    <row r="604" spans="1:9" x14ac:dyDescent="0.25">
      <c r="A604" t="s">
        <v>95</v>
      </c>
      <c r="B604" t="s">
        <v>106</v>
      </c>
      <c r="C604" t="s">
        <v>94</v>
      </c>
      <c r="D604" t="s">
        <v>79</v>
      </c>
      <c r="E604" t="s">
        <v>43</v>
      </c>
      <c r="F604" s="6">
        <v>0.3125</v>
      </c>
      <c r="G604">
        <v>59</v>
      </c>
      <c r="H604" s="6">
        <f>FLOOR(tblPivotData[[#This Row],[Time]],Summary!$B$6/1440)</f>
        <v>0.3125</v>
      </c>
      <c r="I604" s="49">
        <f>INDEX(PeakCalc!$L$10:$L$303,MATCH(tblPivotData[[#This Row],[Time]],PeakCalc!$G$10:$G$303,0))</f>
        <v>0</v>
      </c>
    </row>
    <row r="605" spans="1:9" x14ac:dyDescent="0.25">
      <c r="A605" t="s">
        <v>95</v>
      </c>
      <c r="B605" t="s">
        <v>106</v>
      </c>
      <c r="C605" t="s">
        <v>94</v>
      </c>
      <c r="D605" t="s">
        <v>79</v>
      </c>
      <c r="E605" t="s">
        <v>43</v>
      </c>
      <c r="F605" s="6">
        <v>0.32291666666666669</v>
      </c>
      <c r="G605">
        <v>82</v>
      </c>
      <c r="H605" s="6">
        <f>FLOOR(tblPivotData[[#This Row],[Time]],Summary!$B$6/1440)</f>
        <v>0.32291666666666663</v>
      </c>
      <c r="I605" s="49">
        <f>INDEX(PeakCalc!$L$10:$L$303,MATCH(tblPivotData[[#This Row],[Time]],PeakCalc!$G$10:$G$303,0))</f>
        <v>1</v>
      </c>
    </row>
    <row r="606" spans="1:9" x14ac:dyDescent="0.25">
      <c r="A606" t="s">
        <v>95</v>
      </c>
      <c r="B606" t="s">
        <v>106</v>
      </c>
      <c r="C606" t="s">
        <v>94</v>
      </c>
      <c r="D606" t="s">
        <v>79</v>
      </c>
      <c r="E606" t="s">
        <v>43</v>
      </c>
      <c r="F606" s="6">
        <v>0.33333333333333331</v>
      </c>
      <c r="G606">
        <v>93</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80</v>
      </c>
      <c r="H607" s="6">
        <f>FLOOR(tblPivotData[[#This Row],[Time]],Summary!$B$6/1440)</f>
        <v>0.34375</v>
      </c>
      <c r="I607" s="49">
        <f>INDEX(PeakCalc!$L$10:$L$303,MATCH(tblPivotData[[#This Row],[Time]],PeakCalc!$G$10:$G$303,0))</f>
        <v>1</v>
      </c>
    </row>
    <row r="608" spans="1:9" x14ac:dyDescent="0.25">
      <c r="A608" t="s">
        <v>95</v>
      </c>
      <c r="B608" t="s">
        <v>106</v>
      </c>
      <c r="C608" t="s">
        <v>94</v>
      </c>
      <c r="D608" t="s">
        <v>79</v>
      </c>
      <c r="E608" t="s">
        <v>43</v>
      </c>
      <c r="F608" s="6">
        <v>0.35416666666666669</v>
      </c>
      <c r="G608">
        <v>89</v>
      </c>
      <c r="H608" s="6">
        <f>FLOOR(tblPivotData[[#This Row],[Time]],Summary!$B$6/1440)</f>
        <v>0.35416666666666663</v>
      </c>
      <c r="I608" s="49">
        <f>INDEX(PeakCalc!$L$10:$L$303,MATCH(tblPivotData[[#This Row],[Time]],PeakCalc!$G$10:$G$303,0))</f>
        <v>1</v>
      </c>
    </row>
    <row r="609" spans="1:9" x14ac:dyDescent="0.25">
      <c r="A609" t="s">
        <v>95</v>
      </c>
      <c r="B609" t="s">
        <v>106</v>
      </c>
      <c r="C609" t="s">
        <v>94</v>
      </c>
      <c r="D609" t="s">
        <v>79</v>
      </c>
      <c r="E609" t="s">
        <v>43</v>
      </c>
      <c r="F609" s="6">
        <v>0.36458333333333331</v>
      </c>
      <c r="G609">
        <v>69</v>
      </c>
      <c r="H609" s="6">
        <f>FLOOR(tblPivotData[[#This Row],[Time]],Summary!$B$6/1440)</f>
        <v>0.36458333333333331</v>
      </c>
      <c r="I609" s="49">
        <f>INDEX(PeakCalc!$L$10:$L$303,MATCH(tblPivotData[[#This Row],[Time]],PeakCalc!$G$10:$G$303,0))</f>
        <v>0</v>
      </c>
    </row>
    <row r="610" spans="1:9" x14ac:dyDescent="0.25">
      <c r="A610" t="s">
        <v>95</v>
      </c>
      <c r="B610" t="s">
        <v>106</v>
      </c>
      <c r="C610" t="s">
        <v>94</v>
      </c>
      <c r="D610" t="s">
        <v>79</v>
      </c>
      <c r="E610" t="s">
        <v>90</v>
      </c>
      <c r="F610" s="6">
        <v>0.54166666666666663</v>
      </c>
      <c r="G610">
        <v>59</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90</v>
      </c>
      <c r="F611" s="6">
        <v>0.55208333333333337</v>
      </c>
      <c r="G611">
        <v>65</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90</v>
      </c>
      <c r="F612" s="6">
        <v>0.5625</v>
      </c>
      <c r="G612">
        <v>52</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90</v>
      </c>
      <c r="F613" s="6">
        <v>0.57291666666666663</v>
      </c>
      <c r="G613">
        <v>51</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55</v>
      </c>
      <c r="H614" s="6">
        <f>FLOOR(tblPivotData[[#This Row],[Time]],Summary!$B$6/1440)</f>
        <v>0.66666666666666663</v>
      </c>
      <c r="I614" s="49">
        <f>INDEX(PeakCalc!$L$10:$L$303,MATCH(tblPivotData[[#This Row],[Time]],PeakCalc!$G$10:$G$303,0))</f>
        <v>0</v>
      </c>
    </row>
    <row r="615" spans="1:9" x14ac:dyDescent="0.25">
      <c r="A615" t="s">
        <v>95</v>
      </c>
      <c r="B615" t="s">
        <v>106</v>
      </c>
      <c r="C615" t="s">
        <v>94</v>
      </c>
      <c r="D615" t="s">
        <v>79</v>
      </c>
      <c r="E615" t="s">
        <v>44</v>
      </c>
      <c r="F615" s="6">
        <v>0.67708333333333337</v>
      </c>
      <c r="G615">
        <v>57</v>
      </c>
      <c r="H615" s="6">
        <f>FLOOR(tblPivotData[[#This Row],[Time]],Summary!$B$6/1440)</f>
        <v>0.67708333333333326</v>
      </c>
      <c r="I615" s="49">
        <f>INDEX(PeakCalc!$L$10:$L$303,MATCH(tblPivotData[[#This Row],[Time]],PeakCalc!$G$10:$G$303,0))</f>
        <v>1</v>
      </c>
    </row>
    <row r="616" spans="1:9" x14ac:dyDescent="0.25">
      <c r="A616" t="s">
        <v>95</v>
      </c>
      <c r="B616" t="s">
        <v>106</v>
      </c>
      <c r="C616" t="s">
        <v>94</v>
      </c>
      <c r="D616" t="s">
        <v>79</v>
      </c>
      <c r="E616" t="s">
        <v>44</v>
      </c>
      <c r="F616" s="6">
        <v>0.6875</v>
      </c>
      <c r="G616">
        <v>63</v>
      </c>
      <c r="H616" s="6">
        <f>FLOOR(tblPivotData[[#This Row],[Time]],Summary!$B$6/1440)</f>
        <v>0.6875</v>
      </c>
      <c r="I616" s="49">
        <f>INDEX(PeakCalc!$L$10:$L$303,MATCH(tblPivotData[[#This Row],[Time]],PeakCalc!$G$10:$G$303,0))</f>
        <v>1</v>
      </c>
    </row>
    <row r="617" spans="1:9" x14ac:dyDescent="0.25">
      <c r="A617" t="s">
        <v>95</v>
      </c>
      <c r="B617" t="s">
        <v>106</v>
      </c>
      <c r="C617" t="s">
        <v>94</v>
      </c>
      <c r="D617" t="s">
        <v>79</v>
      </c>
      <c r="E617" t="s">
        <v>44</v>
      </c>
      <c r="F617" s="6">
        <v>0.69791666666666663</v>
      </c>
      <c r="G617">
        <v>44</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51</v>
      </c>
      <c r="H618" s="6">
        <f>FLOOR(tblPivotData[[#This Row],[Time]],Summary!$B$6/1440)</f>
        <v>0.70833333333333326</v>
      </c>
      <c r="I618" s="49">
        <f>INDEX(PeakCalc!$L$10:$L$303,MATCH(tblPivotData[[#This Row],[Time]],PeakCalc!$G$10:$G$303,0))</f>
        <v>1</v>
      </c>
    </row>
    <row r="619" spans="1:9" x14ac:dyDescent="0.25">
      <c r="A619" t="s">
        <v>95</v>
      </c>
      <c r="B619" t="s">
        <v>106</v>
      </c>
      <c r="C619" t="s">
        <v>94</v>
      </c>
      <c r="D619" t="s">
        <v>79</v>
      </c>
      <c r="E619" t="s">
        <v>44</v>
      </c>
      <c r="F619" s="6">
        <v>0.71875</v>
      </c>
      <c r="G619">
        <v>43</v>
      </c>
      <c r="H619" s="6">
        <f>FLOOR(tblPivotData[[#This Row],[Time]],Summary!$B$6/1440)</f>
        <v>0.71875</v>
      </c>
      <c r="I619" s="49">
        <f>INDEX(PeakCalc!$L$10:$L$303,MATCH(tblPivotData[[#This Row],[Time]],PeakCalc!$G$10:$G$303,0))</f>
        <v>0</v>
      </c>
    </row>
    <row r="620" spans="1:9" x14ac:dyDescent="0.25">
      <c r="A620" t="s">
        <v>95</v>
      </c>
      <c r="B620" t="s">
        <v>106</v>
      </c>
      <c r="C620" t="s">
        <v>94</v>
      </c>
      <c r="D620" t="s">
        <v>79</v>
      </c>
      <c r="E620" t="s">
        <v>44</v>
      </c>
      <c r="F620" s="6">
        <v>0.72916666666666663</v>
      </c>
      <c r="G620">
        <v>43</v>
      </c>
      <c r="H620" s="6">
        <f>FLOOR(tblPivotData[[#This Row],[Time]],Summary!$B$6/1440)</f>
        <v>0.72916666666666663</v>
      </c>
      <c r="I620" s="49">
        <f>INDEX(PeakCalc!$L$10:$L$303,MATCH(tblPivotData[[#This Row],[Time]],PeakCalc!$G$10:$G$303,0))</f>
        <v>0</v>
      </c>
    </row>
    <row r="621" spans="1:9" x14ac:dyDescent="0.25">
      <c r="A621" t="s">
        <v>95</v>
      </c>
      <c r="B621" t="s">
        <v>106</v>
      </c>
      <c r="C621" t="s">
        <v>94</v>
      </c>
      <c r="D621" t="s">
        <v>79</v>
      </c>
      <c r="E621" t="s">
        <v>44</v>
      </c>
      <c r="F621" s="6">
        <v>0.73958333333333337</v>
      </c>
      <c r="G621">
        <v>49</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4</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7</v>
      </c>
      <c r="H623" s="6">
        <f>FLOOR(tblPivotData[[#This Row],[Time]],Summary!$B$6/1440)</f>
        <v>0.30208333333333331</v>
      </c>
      <c r="I623" s="49">
        <f>INDEX(PeakCalc!$L$10:$L$303,MATCH(tblPivotData[[#This Row],[Time]],PeakCalc!$G$10:$G$303,0))</f>
        <v>0</v>
      </c>
    </row>
    <row r="624" spans="1:9" x14ac:dyDescent="0.25">
      <c r="A624" t="s">
        <v>95</v>
      </c>
      <c r="B624" t="s">
        <v>106</v>
      </c>
      <c r="C624" t="s">
        <v>94</v>
      </c>
      <c r="D624" t="s">
        <v>89</v>
      </c>
      <c r="E624" t="s">
        <v>43</v>
      </c>
      <c r="F624" s="6">
        <v>0.3125</v>
      </c>
      <c r="G624">
        <v>3</v>
      </c>
      <c r="H624" s="6">
        <f>FLOOR(tblPivotData[[#This Row],[Time]],Summary!$B$6/1440)</f>
        <v>0.3125</v>
      </c>
      <c r="I624" s="49">
        <f>INDEX(PeakCalc!$L$10:$L$303,MATCH(tblPivotData[[#This Row],[Time]],PeakCalc!$G$10:$G$303,0))</f>
        <v>0</v>
      </c>
    </row>
    <row r="625" spans="1:9" x14ac:dyDescent="0.25">
      <c r="A625" t="s">
        <v>95</v>
      </c>
      <c r="B625" t="s">
        <v>106</v>
      </c>
      <c r="C625" t="s">
        <v>94</v>
      </c>
      <c r="D625" t="s">
        <v>89</v>
      </c>
      <c r="E625" t="s">
        <v>43</v>
      </c>
      <c r="F625" s="6">
        <v>0.32291666666666669</v>
      </c>
      <c r="G625">
        <v>8</v>
      </c>
      <c r="H625" s="6">
        <f>FLOOR(tblPivotData[[#This Row],[Time]],Summary!$B$6/1440)</f>
        <v>0.32291666666666663</v>
      </c>
      <c r="I625" s="49">
        <f>INDEX(PeakCalc!$L$10:$L$303,MATCH(tblPivotData[[#This Row],[Time]],PeakCalc!$G$10:$G$303,0))</f>
        <v>1</v>
      </c>
    </row>
    <row r="626" spans="1:9" x14ac:dyDescent="0.25">
      <c r="A626" t="s">
        <v>95</v>
      </c>
      <c r="B626" t="s">
        <v>106</v>
      </c>
      <c r="C626" t="s">
        <v>94</v>
      </c>
      <c r="D626" t="s">
        <v>89</v>
      </c>
      <c r="E626" t="s">
        <v>43</v>
      </c>
      <c r="F626" s="6">
        <v>0.33333333333333331</v>
      </c>
      <c r="G626">
        <v>4</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2</v>
      </c>
      <c r="H627" s="6">
        <f>FLOOR(tblPivotData[[#This Row],[Time]],Summary!$B$6/1440)</f>
        <v>0.34375</v>
      </c>
      <c r="I627" s="49">
        <f>INDEX(PeakCalc!$L$10:$L$303,MATCH(tblPivotData[[#This Row],[Time]],PeakCalc!$G$10:$G$303,0))</f>
        <v>1</v>
      </c>
    </row>
    <row r="628" spans="1:9" x14ac:dyDescent="0.25">
      <c r="A628" t="s">
        <v>95</v>
      </c>
      <c r="B628" t="s">
        <v>106</v>
      </c>
      <c r="C628" t="s">
        <v>94</v>
      </c>
      <c r="D628" t="s">
        <v>89</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95</v>
      </c>
      <c r="B629" t="s">
        <v>106</v>
      </c>
      <c r="C629" t="s">
        <v>94</v>
      </c>
      <c r="D629" t="s">
        <v>89</v>
      </c>
      <c r="E629" t="s">
        <v>43</v>
      </c>
      <c r="F629" s="6">
        <v>0.36458333333333331</v>
      </c>
      <c r="G629">
        <v>9</v>
      </c>
      <c r="H629" s="6">
        <f>FLOOR(tblPivotData[[#This Row],[Time]],Summary!$B$6/1440)</f>
        <v>0.36458333333333331</v>
      </c>
      <c r="I629" s="49">
        <f>INDEX(PeakCalc!$L$10:$L$303,MATCH(tblPivotData[[#This Row],[Time]],PeakCalc!$G$10:$G$303,0))</f>
        <v>0</v>
      </c>
    </row>
    <row r="630" spans="1:9" x14ac:dyDescent="0.25">
      <c r="A630" t="s">
        <v>95</v>
      </c>
      <c r="B630" t="s">
        <v>106</v>
      </c>
      <c r="C630" t="s">
        <v>94</v>
      </c>
      <c r="D630" t="s">
        <v>89</v>
      </c>
      <c r="E630" t="s">
        <v>90</v>
      </c>
      <c r="F630" s="6">
        <v>0.54166666666666663</v>
      </c>
      <c r="G630">
        <v>2</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90</v>
      </c>
      <c r="F632" s="6">
        <v>0.5625</v>
      </c>
      <c r="G632">
        <v>1</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2</v>
      </c>
      <c r="H634" s="6">
        <f>FLOOR(tblPivotData[[#This Row],[Time]],Summary!$B$6/1440)</f>
        <v>0.66666666666666663</v>
      </c>
      <c r="I634" s="49">
        <f>INDEX(PeakCalc!$L$10:$L$303,MATCH(tblPivotData[[#This Row],[Time]],PeakCalc!$G$10:$G$303,0))</f>
        <v>0</v>
      </c>
    </row>
    <row r="635" spans="1:9" x14ac:dyDescent="0.25">
      <c r="A635" t="s">
        <v>95</v>
      </c>
      <c r="B635" t="s">
        <v>106</v>
      </c>
      <c r="C635" t="s">
        <v>94</v>
      </c>
      <c r="D635" t="s">
        <v>89</v>
      </c>
      <c r="E635" t="s">
        <v>44</v>
      </c>
      <c r="F635" s="6">
        <v>0.67708333333333337</v>
      </c>
      <c r="G635">
        <v>1</v>
      </c>
      <c r="H635" s="6">
        <f>FLOOR(tblPivotData[[#This Row],[Time]],Summary!$B$6/1440)</f>
        <v>0.67708333333333326</v>
      </c>
      <c r="I635" s="49">
        <f>INDEX(PeakCalc!$L$10:$L$303,MATCH(tblPivotData[[#This Row],[Time]],PeakCalc!$G$10:$G$303,0))</f>
        <v>1</v>
      </c>
    </row>
    <row r="636" spans="1:9" x14ac:dyDescent="0.25">
      <c r="A636" t="s">
        <v>95</v>
      </c>
      <c r="B636" t="s">
        <v>106</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106</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4</v>
      </c>
      <c r="H638" s="6">
        <f>FLOOR(tblPivotData[[#This Row],[Time]],Summary!$B$6/1440)</f>
        <v>0.70833333333333326</v>
      </c>
      <c r="I638" s="49">
        <f>INDEX(PeakCalc!$L$10:$L$303,MATCH(tblPivotData[[#This Row],[Time]],PeakCalc!$G$10:$G$303,0))</f>
        <v>1</v>
      </c>
    </row>
    <row r="639" spans="1:9" x14ac:dyDescent="0.25">
      <c r="A639" t="s">
        <v>95</v>
      </c>
      <c r="B639" t="s">
        <v>106</v>
      </c>
      <c r="C639" t="s">
        <v>94</v>
      </c>
      <c r="D639" t="s">
        <v>89</v>
      </c>
      <c r="E639" t="s">
        <v>44</v>
      </c>
      <c r="F639" s="6">
        <v>0.71875</v>
      </c>
      <c r="G639">
        <v>2</v>
      </c>
      <c r="H639" s="6">
        <f>FLOOR(tblPivotData[[#This Row],[Time]],Summary!$B$6/1440)</f>
        <v>0.71875</v>
      </c>
      <c r="I639" s="49">
        <f>INDEX(PeakCalc!$L$10:$L$303,MATCH(tblPivotData[[#This Row],[Time]],PeakCalc!$G$10:$G$303,0))</f>
        <v>0</v>
      </c>
    </row>
    <row r="640" spans="1:9" x14ac:dyDescent="0.25">
      <c r="A640" t="s">
        <v>95</v>
      </c>
      <c r="B640" t="s">
        <v>106</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95</v>
      </c>
      <c r="B641" t="s">
        <v>106</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95</v>
      </c>
      <c r="B642" t="s">
        <v>106</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106</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106</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106</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106</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106</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106</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106</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106</v>
      </c>
      <c r="C655" t="s">
        <v>94</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95</v>
      </c>
      <c r="B656" t="s">
        <v>106</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106</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94</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95</v>
      </c>
      <c r="B660" t="s">
        <v>106</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106</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100</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100</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95</v>
      </c>
      <c r="B664" t="s">
        <v>100</v>
      </c>
      <c r="C664" t="s">
        <v>95</v>
      </c>
      <c r="D664" t="s">
        <v>79</v>
      </c>
      <c r="E664" t="s">
        <v>43</v>
      </c>
      <c r="F664" s="6">
        <v>0.3125</v>
      </c>
      <c r="G664">
        <v>1</v>
      </c>
      <c r="H664" s="6">
        <f>FLOOR(tblPivotData[[#This Row],[Time]],Summary!$B$6/1440)</f>
        <v>0.3125</v>
      </c>
      <c r="I664" s="49">
        <f>INDEX(PeakCalc!$L$10:$L$303,MATCH(tblPivotData[[#This Row],[Time]],PeakCalc!$G$10:$G$303,0))</f>
        <v>0</v>
      </c>
    </row>
    <row r="665" spans="1:9" x14ac:dyDescent="0.25">
      <c r="A665" t="s">
        <v>95</v>
      </c>
      <c r="B665" t="s">
        <v>100</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95</v>
      </c>
      <c r="B666" t="s">
        <v>100</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95</v>
      </c>
      <c r="B667" t="s">
        <v>100</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95</v>
      </c>
      <c r="B668" t="s">
        <v>100</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95</v>
      </c>
      <c r="B669" t="s">
        <v>100</v>
      </c>
      <c r="C669" t="s">
        <v>95</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95</v>
      </c>
      <c r="B670" t="s">
        <v>100</v>
      </c>
      <c r="C670" t="s">
        <v>95</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95</v>
      </c>
      <c r="B671" t="s">
        <v>100</v>
      </c>
      <c r="C671" t="s">
        <v>95</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100</v>
      </c>
      <c r="C672" t="s">
        <v>95</v>
      </c>
      <c r="D672" t="s">
        <v>79</v>
      </c>
      <c r="E672" t="s">
        <v>90</v>
      </c>
      <c r="F672" s="6">
        <v>0.5625</v>
      </c>
      <c r="G672">
        <v>1</v>
      </c>
      <c r="H672" s="6">
        <f>FLOOR(tblPivotData[[#This Row],[Time]],Summary!$B$6/1440)</f>
        <v>0.5625</v>
      </c>
      <c r="I672" s="49">
        <f>INDEX(PeakCalc!$L$10:$L$303,MATCH(tblPivotData[[#This Row],[Time]],PeakCalc!$G$10:$G$303,0))</f>
        <v>1</v>
      </c>
    </row>
    <row r="673" spans="1:9" x14ac:dyDescent="0.25">
      <c r="A673" t="s">
        <v>95</v>
      </c>
      <c r="B673" t="s">
        <v>100</v>
      </c>
      <c r="C673" t="s">
        <v>95</v>
      </c>
      <c r="D673" t="s">
        <v>79</v>
      </c>
      <c r="E673" t="s">
        <v>90</v>
      </c>
      <c r="F673" s="6">
        <v>0.57291666666666663</v>
      </c>
      <c r="G673">
        <v>1</v>
      </c>
      <c r="H673" s="6">
        <f>FLOOR(tblPivotData[[#This Row],[Time]],Summary!$B$6/1440)</f>
        <v>0.57291666666666663</v>
      </c>
      <c r="I673" s="49">
        <f>INDEX(PeakCalc!$L$10:$L$303,MATCH(tblPivotData[[#This Row],[Time]],PeakCalc!$G$10:$G$303,0))</f>
        <v>1</v>
      </c>
    </row>
    <row r="674" spans="1:9" x14ac:dyDescent="0.25">
      <c r="A674" t="s">
        <v>95</v>
      </c>
      <c r="B674" t="s">
        <v>100</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95</v>
      </c>
      <c r="B675" t="s">
        <v>100</v>
      </c>
      <c r="C675" t="s">
        <v>95</v>
      </c>
      <c r="D675" t="s">
        <v>79</v>
      </c>
      <c r="E675" t="s">
        <v>44</v>
      </c>
      <c r="F675" s="6">
        <v>0.67708333333333337</v>
      </c>
      <c r="G675">
        <v>0</v>
      </c>
      <c r="H675" s="6">
        <f>FLOOR(tblPivotData[[#This Row],[Time]],Summary!$B$6/1440)</f>
        <v>0.67708333333333326</v>
      </c>
      <c r="I675" s="49">
        <f>INDEX(PeakCalc!$L$10:$L$303,MATCH(tblPivotData[[#This Row],[Time]],PeakCalc!$G$10:$G$303,0))</f>
        <v>1</v>
      </c>
    </row>
    <row r="676" spans="1:9" x14ac:dyDescent="0.25">
      <c r="A676" t="s">
        <v>95</v>
      </c>
      <c r="B676" t="s">
        <v>100</v>
      </c>
      <c r="C676" t="s">
        <v>95</v>
      </c>
      <c r="D676" t="s">
        <v>79</v>
      </c>
      <c r="E676" t="s">
        <v>44</v>
      </c>
      <c r="F676" s="6">
        <v>0.6875</v>
      </c>
      <c r="G676">
        <v>0</v>
      </c>
      <c r="H676" s="6">
        <f>FLOOR(tblPivotData[[#This Row],[Time]],Summary!$B$6/1440)</f>
        <v>0.6875</v>
      </c>
      <c r="I676" s="49">
        <f>INDEX(PeakCalc!$L$10:$L$303,MATCH(tblPivotData[[#This Row],[Time]],PeakCalc!$G$10:$G$303,0))</f>
        <v>1</v>
      </c>
    </row>
    <row r="677" spans="1:9" x14ac:dyDescent="0.25">
      <c r="A677" t="s">
        <v>95</v>
      </c>
      <c r="B677" t="s">
        <v>100</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95</v>
      </c>
      <c r="B678" t="s">
        <v>100</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95</v>
      </c>
      <c r="B679" t="s">
        <v>100</v>
      </c>
      <c r="C679" t="s">
        <v>95</v>
      </c>
      <c r="D679" t="s">
        <v>79</v>
      </c>
      <c r="E679" t="s">
        <v>44</v>
      </c>
      <c r="F679" s="6">
        <v>0.71875</v>
      </c>
      <c r="G679">
        <v>0</v>
      </c>
      <c r="H679" s="6">
        <f>FLOOR(tblPivotData[[#This Row],[Time]],Summary!$B$6/1440)</f>
        <v>0.71875</v>
      </c>
      <c r="I679" s="49">
        <f>INDEX(PeakCalc!$L$10:$L$303,MATCH(tblPivotData[[#This Row],[Time]],PeakCalc!$G$10:$G$303,0))</f>
        <v>0</v>
      </c>
    </row>
    <row r="680" spans="1:9" x14ac:dyDescent="0.25">
      <c r="A680" t="s">
        <v>95</v>
      </c>
      <c r="B680" t="s">
        <v>100</v>
      </c>
      <c r="C680" t="s">
        <v>95</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95</v>
      </c>
      <c r="B681" t="s">
        <v>100</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95</v>
      </c>
      <c r="B682" t="s">
        <v>100</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100</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100</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100</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95</v>
      </c>
      <c r="B686" t="s">
        <v>100</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100</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100</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95</v>
      </c>
      <c r="B689" t="s">
        <v>100</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95</v>
      </c>
      <c r="B690" t="s">
        <v>100</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100</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100</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95</v>
      </c>
      <c r="B693" t="s">
        <v>100</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100</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95</v>
      </c>
      <c r="B695" t="s">
        <v>100</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95</v>
      </c>
      <c r="B696" t="s">
        <v>100</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100</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100</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100</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95</v>
      </c>
      <c r="B700" t="s">
        <v>100</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100</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100</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100</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100</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95</v>
      </c>
      <c r="B705" t="s">
        <v>100</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95</v>
      </c>
      <c r="B706" t="s">
        <v>100</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100</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100</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100</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95</v>
      </c>
      <c r="B710" t="s">
        <v>100</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100</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100</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95</v>
      </c>
      <c r="B713" t="s">
        <v>100</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100</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100</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95</v>
      </c>
      <c r="B716" t="s">
        <v>100</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100</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100</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100</v>
      </c>
      <c r="C719" t="s">
        <v>95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95</v>
      </c>
      <c r="B720" t="s">
        <v>100</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100</v>
      </c>
      <c r="C721" t="s">
        <v>95</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3</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5</v>
      </c>
      <c r="H723" s="6">
        <f>FLOOR(tblPivotData[[#This Row],[Time]],Summary!$B$6/1440)</f>
        <v>0.30208333333333331</v>
      </c>
      <c r="I723" s="49">
        <f>INDEX(PeakCalc!$L$10:$L$303,MATCH(tblPivotData[[#This Row],[Time]],PeakCalc!$G$10:$G$303,0))</f>
        <v>0</v>
      </c>
    </row>
    <row r="724" spans="1:9" x14ac:dyDescent="0.25">
      <c r="A724" t="s">
        <v>96</v>
      </c>
      <c r="B724" t="s">
        <v>107</v>
      </c>
      <c r="C724" t="s">
        <v>93</v>
      </c>
      <c r="D724" t="s">
        <v>79</v>
      </c>
      <c r="E724" t="s">
        <v>43</v>
      </c>
      <c r="F724" s="6">
        <v>0.3125</v>
      </c>
      <c r="G724">
        <v>6</v>
      </c>
      <c r="H724" s="6">
        <f>FLOOR(tblPivotData[[#This Row],[Time]],Summary!$B$6/1440)</f>
        <v>0.3125</v>
      </c>
      <c r="I724" s="49">
        <f>INDEX(PeakCalc!$L$10:$L$303,MATCH(tblPivotData[[#This Row],[Time]],PeakCalc!$G$10:$G$303,0))</f>
        <v>0</v>
      </c>
    </row>
    <row r="725" spans="1:9" x14ac:dyDescent="0.25">
      <c r="A725" t="s">
        <v>96</v>
      </c>
      <c r="B725" t="s">
        <v>107</v>
      </c>
      <c r="C725" t="s">
        <v>93</v>
      </c>
      <c r="D725" t="s">
        <v>79</v>
      </c>
      <c r="E725" t="s">
        <v>43</v>
      </c>
      <c r="F725" s="6">
        <v>0.32291666666666669</v>
      </c>
      <c r="G725">
        <v>13</v>
      </c>
      <c r="H725" s="6">
        <f>FLOOR(tblPivotData[[#This Row],[Time]],Summary!$B$6/1440)</f>
        <v>0.32291666666666663</v>
      </c>
      <c r="I725" s="49">
        <f>INDEX(PeakCalc!$L$10:$L$303,MATCH(tblPivotData[[#This Row],[Time]],PeakCalc!$G$10:$G$303,0))</f>
        <v>1</v>
      </c>
    </row>
    <row r="726" spans="1:9" x14ac:dyDescent="0.25">
      <c r="A726" t="s">
        <v>96</v>
      </c>
      <c r="B726" t="s">
        <v>107</v>
      </c>
      <c r="C726" t="s">
        <v>93</v>
      </c>
      <c r="D726" t="s">
        <v>79</v>
      </c>
      <c r="E726" t="s">
        <v>43</v>
      </c>
      <c r="F726" s="6">
        <v>0.33333333333333331</v>
      </c>
      <c r="G726">
        <v>10</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14</v>
      </c>
      <c r="H727" s="6">
        <f>FLOOR(tblPivotData[[#This Row],[Time]],Summary!$B$6/1440)</f>
        <v>0.34375</v>
      </c>
      <c r="I727" s="49">
        <f>INDEX(PeakCalc!$L$10:$L$303,MATCH(tblPivotData[[#This Row],[Time]],PeakCalc!$G$10:$G$303,0))</f>
        <v>1</v>
      </c>
    </row>
    <row r="728" spans="1:9" x14ac:dyDescent="0.25">
      <c r="A728" t="s">
        <v>96</v>
      </c>
      <c r="B728" t="s">
        <v>107</v>
      </c>
      <c r="C728" t="s">
        <v>93</v>
      </c>
      <c r="D728" t="s">
        <v>79</v>
      </c>
      <c r="E728" t="s">
        <v>43</v>
      </c>
      <c r="F728" s="6">
        <v>0.35416666666666669</v>
      </c>
      <c r="G728">
        <v>18</v>
      </c>
      <c r="H728" s="6">
        <f>FLOOR(tblPivotData[[#This Row],[Time]],Summary!$B$6/1440)</f>
        <v>0.35416666666666663</v>
      </c>
      <c r="I728" s="49">
        <f>INDEX(PeakCalc!$L$10:$L$303,MATCH(tblPivotData[[#This Row],[Time]],PeakCalc!$G$10:$G$303,0))</f>
        <v>1</v>
      </c>
    </row>
    <row r="729" spans="1:9" x14ac:dyDescent="0.25">
      <c r="A729" t="s">
        <v>96</v>
      </c>
      <c r="B729" t="s">
        <v>107</v>
      </c>
      <c r="C729" t="s">
        <v>93</v>
      </c>
      <c r="D729" t="s">
        <v>79</v>
      </c>
      <c r="E729" t="s">
        <v>43</v>
      </c>
      <c r="F729" s="6">
        <v>0.36458333333333331</v>
      </c>
      <c r="G729">
        <v>11</v>
      </c>
      <c r="H729" s="6">
        <f>FLOOR(tblPivotData[[#This Row],[Time]],Summary!$B$6/1440)</f>
        <v>0.36458333333333331</v>
      </c>
      <c r="I729" s="49">
        <f>INDEX(PeakCalc!$L$10:$L$303,MATCH(tblPivotData[[#This Row],[Time]],PeakCalc!$G$10:$G$303,0))</f>
        <v>0</v>
      </c>
    </row>
    <row r="730" spans="1:9" x14ac:dyDescent="0.25">
      <c r="A730" t="s">
        <v>96</v>
      </c>
      <c r="B730" t="s">
        <v>107</v>
      </c>
      <c r="C730" t="s">
        <v>93</v>
      </c>
      <c r="D730" t="s">
        <v>79</v>
      </c>
      <c r="E730" t="s">
        <v>90</v>
      </c>
      <c r="F730" s="6">
        <v>0.54166666666666663</v>
      </c>
      <c r="G730">
        <v>17</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90</v>
      </c>
      <c r="F731" s="6">
        <v>0.55208333333333337</v>
      </c>
      <c r="G731">
        <v>16</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90</v>
      </c>
      <c r="F732" s="6">
        <v>0.5625</v>
      </c>
      <c r="G732">
        <v>15</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90</v>
      </c>
      <c r="F733" s="6">
        <v>0.57291666666666663</v>
      </c>
      <c r="G733">
        <v>19</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18</v>
      </c>
      <c r="H734" s="6">
        <f>FLOOR(tblPivotData[[#This Row],[Time]],Summary!$B$6/1440)</f>
        <v>0.66666666666666663</v>
      </c>
      <c r="I734" s="49">
        <f>INDEX(PeakCalc!$L$10:$L$303,MATCH(tblPivotData[[#This Row],[Time]],PeakCalc!$G$10:$G$303,0))</f>
        <v>0</v>
      </c>
    </row>
    <row r="735" spans="1:9" x14ac:dyDescent="0.25">
      <c r="A735" t="s">
        <v>96</v>
      </c>
      <c r="B735" t="s">
        <v>107</v>
      </c>
      <c r="C735" t="s">
        <v>93</v>
      </c>
      <c r="D735" t="s">
        <v>79</v>
      </c>
      <c r="E735" t="s">
        <v>44</v>
      </c>
      <c r="F735" s="6">
        <v>0.67708333333333337</v>
      </c>
      <c r="G735">
        <v>21</v>
      </c>
      <c r="H735" s="6">
        <f>FLOOR(tblPivotData[[#This Row],[Time]],Summary!$B$6/1440)</f>
        <v>0.67708333333333326</v>
      </c>
      <c r="I735" s="49">
        <f>INDEX(PeakCalc!$L$10:$L$303,MATCH(tblPivotData[[#This Row],[Time]],PeakCalc!$G$10:$G$303,0))</f>
        <v>1</v>
      </c>
    </row>
    <row r="736" spans="1:9" x14ac:dyDescent="0.25">
      <c r="A736" t="s">
        <v>96</v>
      </c>
      <c r="B736" t="s">
        <v>107</v>
      </c>
      <c r="C736" t="s">
        <v>93</v>
      </c>
      <c r="D736" t="s">
        <v>79</v>
      </c>
      <c r="E736" t="s">
        <v>44</v>
      </c>
      <c r="F736" s="6">
        <v>0.6875</v>
      </c>
      <c r="G736">
        <v>30</v>
      </c>
      <c r="H736" s="6">
        <f>FLOOR(tblPivotData[[#This Row],[Time]],Summary!$B$6/1440)</f>
        <v>0.6875</v>
      </c>
      <c r="I736" s="49">
        <f>INDEX(PeakCalc!$L$10:$L$303,MATCH(tblPivotData[[#This Row],[Time]],PeakCalc!$G$10:$G$303,0))</f>
        <v>1</v>
      </c>
    </row>
    <row r="737" spans="1:9" x14ac:dyDescent="0.25">
      <c r="A737" t="s">
        <v>96</v>
      </c>
      <c r="B737" t="s">
        <v>107</v>
      </c>
      <c r="C737" t="s">
        <v>93</v>
      </c>
      <c r="D737" t="s">
        <v>79</v>
      </c>
      <c r="E737" t="s">
        <v>44</v>
      </c>
      <c r="F737" s="6">
        <v>0.69791666666666663</v>
      </c>
      <c r="G737">
        <v>20</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21</v>
      </c>
      <c r="H738" s="6">
        <f>FLOOR(tblPivotData[[#This Row],[Time]],Summary!$B$6/1440)</f>
        <v>0.70833333333333326</v>
      </c>
      <c r="I738" s="49">
        <f>INDEX(PeakCalc!$L$10:$L$303,MATCH(tblPivotData[[#This Row],[Time]],PeakCalc!$G$10:$G$303,0))</f>
        <v>1</v>
      </c>
    </row>
    <row r="739" spans="1:9" x14ac:dyDescent="0.25">
      <c r="A739" t="s">
        <v>96</v>
      </c>
      <c r="B739" t="s">
        <v>107</v>
      </c>
      <c r="C739" t="s">
        <v>93</v>
      </c>
      <c r="D739" t="s">
        <v>79</v>
      </c>
      <c r="E739" t="s">
        <v>44</v>
      </c>
      <c r="F739" s="6">
        <v>0.71875</v>
      </c>
      <c r="G739">
        <v>18</v>
      </c>
      <c r="H739" s="6">
        <f>FLOOR(tblPivotData[[#This Row],[Time]],Summary!$B$6/1440)</f>
        <v>0.71875</v>
      </c>
      <c r="I739" s="49">
        <f>INDEX(PeakCalc!$L$10:$L$303,MATCH(tblPivotData[[#This Row],[Time]],PeakCalc!$G$10:$G$303,0))</f>
        <v>0</v>
      </c>
    </row>
    <row r="740" spans="1:9" x14ac:dyDescent="0.25">
      <c r="A740" t="s">
        <v>96</v>
      </c>
      <c r="B740" t="s">
        <v>107</v>
      </c>
      <c r="C740" t="s">
        <v>93</v>
      </c>
      <c r="D740" t="s">
        <v>79</v>
      </c>
      <c r="E740" t="s">
        <v>44</v>
      </c>
      <c r="F740" s="6">
        <v>0.72916666666666663</v>
      </c>
      <c r="G740">
        <v>6</v>
      </c>
      <c r="H740" s="6">
        <f>FLOOR(tblPivotData[[#This Row],[Time]],Summary!$B$6/1440)</f>
        <v>0.72916666666666663</v>
      </c>
      <c r="I740" s="49">
        <f>INDEX(PeakCalc!$L$10:$L$303,MATCH(tblPivotData[[#This Row],[Time]],PeakCalc!$G$10:$G$303,0))</f>
        <v>0</v>
      </c>
    </row>
    <row r="741" spans="1:9" x14ac:dyDescent="0.25">
      <c r="A741" t="s">
        <v>96</v>
      </c>
      <c r="B741" t="s">
        <v>107</v>
      </c>
      <c r="C741" t="s">
        <v>93</v>
      </c>
      <c r="D741" t="s">
        <v>79</v>
      </c>
      <c r="E741" t="s">
        <v>44</v>
      </c>
      <c r="F741" s="6">
        <v>0.73958333333333337</v>
      </c>
      <c r="G741">
        <v>4</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2</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107</v>
      </c>
      <c r="C744" t="s">
        <v>93</v>
      </c>
      <c r="D744" t="s">
        <v>89</v>
      </c>
      <c r="E744" t="s">
        <v>43</v>
      </c>
      <c r="F744" s="6">
        <v>0.3125</v>
      </c>
      <c r="G744">
        <v>1</v>
      </c>
      <c r="H744" s="6">
        <f>FLOOR(tblPivotData[[#This Row],[Time]],Summary!$B$6/1440)</f>
        <v>0.3125</v>
      </c>
      <c r="I744" s="49">
        <f>INDEX(PeakCalc!$L$10:$L$303,MATCH(tblPivotData[[#This Row],[Time]],PeakCalc!$G$10:$G$303,0))</f>
        <v>0</v>
      </c>
    </row>
    <row r="745" spans="1:9" x14ac:dyDescent="0.25">
      <c r="A745" t="s">
        <v>96</v>
      </c>
      <c r="B745" t="s">
        <v>107</v>
      </c>
      <c r="C745" t="s">
        <v>93</v>
      </c>
      <c r="D745" t="s">
        <v>89</v>
      </c>
      <c r="E745" t="s">
        <v>43</v>
      </c>
      <c r="F745" s="6">
        <v>0.32291666666666669</v>
      </c>
      <c r="G745">
        <v>1</v>
      </c>
      <c r="H745" s="6">
        <f>FLOOR(tblPivotData[[#This Row],[Time]],Summary!$B$6/1440)</f>
        <v>0.32291666666666663</v>
      </c>
      <c r="I745" s="49">
        <f>INDEX(PeakCalc!$L$10:$L$303,MATCH(tblPivotData[[#This Row],[Time]],PeakCalc!$G$10:$G$303,0))</f>
        <v>1</v>
      </c>
    </row>
    <row r="746" spans="1:9" x14ac:dyDescent="0.25">
      <c r="A746" t="s">
        <v>96</v>
      </c>
      <c r="B746" t="s">
        <v>107</v>
      </c>
      <c r="C746" t="s">
        <v>93</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107</v>
      </c>
      <c r="C748" t="s">
        <v>93</v>
      </c>
      <c r="D748" t="s">
        <v>89</v>
      </c>
      <c r="E748" t="s">
        <v>43</v>
      </c>
      <c r="F748" s="6">
        <v>0.35416666666666669</v>
      </c>
      <c r="G748">
        <v>3</v>
      </c>
      <c r="H748" s="6">
        <f>FLOOR(tblPivotData[[#This Row],[Time]],Summary!$B$6/1440)</f>
        <v>0.35416666666666663</v>
      </c>
      <c r="I748" s="49">
        <f>INDEX(PeakCalc!$L$10:$L$303,MATCH(tblPivotData[[#This Row],[Time]],PeakCalc!$G$10:$G$303,0))</f>
        <v>1</v>
      </c>
    </row>
    <row r="749" spans="1:9" x14ac:dyDescent="0.25">
      <c r="A749" t="s">
        <v>96</v>
      </c>
      <c r="B749" t="s">
        <v>107</v>
      </c>
      <c r="C749" t="s">
        <v>93</v>
      </c>
      <c r="D749" t="s">
        <v>89</v>
      </c>
      <c r="E749" t="s">
        <v>43</v>
      </c>
      <c r="F749" s="6">
        <v>0.36458333333333331</v>
      </c>
      <c r="G749">
        <v>2</v>
      </c>
      <c r="H749" s="6">
        <f>FLOOR(tblPivotData[[#This Row],[Time]],Summary!$B$6/1440)</f>
        <v>0.36458333333333331</v>
      </c>
      <c r="I749" s="49">
        <f>INDEX(PeakCalc!$L$10:$L$303,MATCH(tblPivotData[[#This Row],[Time]],PeakCalc!$G$10:$G$303,0))</f>
        <v>0</v>
      </c>
    </row>
    <row r="750" spans="1:9" x14ac:dyDescent="0.25">
      <c r="A750" t="s">
        <v>96</v>
      </c>
      <c r="B750" t="s">
        <v>107</v>
      </c>
      <c r="C750" t="s">
        <v>93</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90</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90</v>
      </c>
      <c r="F752" s="6">
        <v>0.5625</v>
      </c>
      <c r="G752">
        <v>1</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90</v>
      </c>
      <c r="F753" s="6">
        <v>0.57291666666666663</v>
      </c>
      <c r="G753">
        <v>1</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2</v>
      </c>
      <c r="H754" s="6">
        <f>FLOOR(tblPivotData[[#This Row],[Time]],Summary!$B$6/1440)</f>
        <v>0.66666666666666663</v>
      </c>
      <c r="I754" s="49">
        <f>INDEX(PeakCalc!$L$10:$L$303,MATCH(tblPivotData[[#This Row],[Time]],PeakCalc!$G$10:$G$303,0))</f>
        <v>0</v>
      </c>
    </row>
    <row r="755" spans="1:9" x14ac:dyDescent="0.25">
      <c r="A755" t="s">
        <v>96</v>
      </c>
      <c r="B755" t="s">
        <v>107</v>
      </c>
      <c r="C755" t="s">
        <v>93</v>
      </c>
      <c r="D755" t="s">
        <v>89</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96</v>
      </c>
      <c r="B756" t="s">
        <v>107</v>
      </c>
      <c r="C756" t="s">
        <v>93</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107</v>
      </c>
      <c r="C757" t="s">
        <v>93</v>
      </c>
      <c r="D757" t="s">
        <v>89</v>
      </c>
      <c r="E757" t="s">
        <v>44</v>
      </c>
      <c r="F757" s="6">
        <v>0.69791666666666663</v>
      </c>
      <c r="G757">
        <v>2</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1</v>
      </c>
      <c r="H758" s="6">
        <f>FLOOR(tblPivotData[[#This Row],[Time]],Summary!$B$6/1440)</f>
        <v>0.70833333333333326</v>
      </c>
      <c r="I758" s="49">
        <f>INDEX(PeakCalc!$L$10:$L$303,MATCH(tblPivotData[[#This Row],[Time]],PeakCalc!$G$10:$G$303,0))</f>
        <v>1</v>
      </c>
    </row>
    <row r="759" spans="1:9" x14ac:dyDescent="0.25">
      <c r="A759" t="s">
        <v>96</v>
      </c>
      <c r="B759" t="s">
        <v>107</v>
      </c>
      <c r="C759" t="s">
        <v>93</v>
      </c>
      <c r="D759" t="s">
        <v>89</v>
      </c>
      <c r="E759" t="s">
        <v>44</v>
      </c>
      <c r="F759" s="6">
        <v>0.71875</v>
      </c>
      <c r="G759">
        <v>1</v>
      </c>
      <c r="H759" s="6">
        <f>FLOOR(tblPivotData[[#This Row],[Time]],Summary!$B$6/1440)</f>
        <v>0.71875</v>
      </c>
      <c r="I759" s="49">
        <f>INDEX(PeakCalc!$L$10:$L$303,MATCH(tblPivotData[[#This Row],[Time]],PeakCalc!$G$10:$G$303,0))</f>
        <v>0</v>
      </c>
    </row>
    <row r="760" spans="1:9" x14ac:dyDescent="0.25">
      <c r="A760" t="s">
        <v>96</v>
      </c>
      <c r="B760" t="s">
        <v>107</v>
      </c>
      <c r="C760" t="s">
        <v>93</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107</v>
      </c>
      <c r="C761" t="s">
        <v>93</v>
      </c>
      <c r="D761" t="s">
        <v>89</v>
      </c>
      <c r="E761" t="s">
        <v>44</v>
      </c>
      <c r="F761" s="6">
        <v>0.73958333333333337</v>
      </c>
      <c r="G761">
        <v>1</v>
      </c>
      <c r="H761" s="6">
        <f>FLOOR(tblPivotData[[#This Row],[Time]],Summary!$B$6/1440)</f>
        <v>0.73958333333333326</v>
      </c>
      <c r="I761" s="49">
        <f>INDEX(PeakCalc!$L$10:$L$303,MATCH(tblPivotData[[#This Row],[Time]],PeakCalc!$G$10:$G$303,0))</f>
        <v>0</v>
      </c>
    </row>
    <row r="762" spans="1:9" x14ac:dyDescent="0.25">
      <c r="A762" t="s">
        <v>96</v>
      </c>
      <c r="B762" t="s">
        <v>107</v>
      </c>
      <c r="C762" t="s">
        <v>93</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107</v>
      </c>
      <c r="C764" t="s">
        <v>93</v>
      </c>
      <c r="D764" t="s">
        <v>91</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93</v>
      </c>
      <c r="D765" t="s">
        <v>91</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107</v>
      </c>
      <c r="C766" t="s">
        <v>93</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107</v>
      </c>
      <c r="C768" t="s">
        <v>93</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107</v>
      </c>
      <c r="C769" t="s">
        <v>93</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107</v>
      </c>
      <c r="C770" t="s">
        <v>93</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91</v>
      </c>
      <c r="E772" t="s">
        <v>90</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93</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107</v>
      </c>
      <c r="C775" t="s">
        <v>93</v>
      </c>
      <c r="D775" t="s">
        <v>91</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96</v>
      </c>
      <c r="B776" t="s">
        <v>107</v>
      </c>
      <c r="C776" t="s">
        <v>93</v>
      </c>
      <c r="D776" t="s">
        <v>91</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107</v>
      </c>
      <c r="C777" t="s">
        <v>93</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107</v>
      </c>
      <c r="C778" t="s">
        <v>93</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107</v>
      </c>
      <c r="C779" t="s">
        <v>93</v>
      </c>
      <c r="D779" t="s">
        <v>91</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107</v>
      </c>
      <c r="C780" t="s">
        <v>93</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107</v>
      </c>
      <c r="C781" t="s">
        <v>93</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108</v>
      </c>
      <c r="C782" t="s">
        <v>94</v>
      </c>
      <c r="D782" t="s">
        <v>79</v>
      </c>
      <c r="E782" t="s">
        <v>43</v>
      </c>
      <c r="F782" s="6">
        <v>0.29166666666666669</v>
      </c>
      <c r="G782">
        <v>116</v>
      </c>
      <c r="H782" s="6">
        <f>FLOOR(tblPivotData[[#This Row],[Time]],Summary!$B$6/1440)</f>
        <v>0.29166666666666663</v>
      </c>
      <c r="I782" s="49">
        <f>INDEX(PeakCalc!$L$10:$L$303,MATCH(tblPivotData[[#This Row],[Time]],PeakCalc!$G$10:$G$303,0))</f>
        <v>0</v>
      </c>
    </row>
    <row r="783" spans="1:9" x14ac:dyDescent="0.25">
      <c r="A783" t="s">
        <v>96</v>
      </c>
      <c r="B783" t="s">
        <v>108</v>
      </c>
      <c r="C783" t="s">
        <v>94</v>
      </c>
      <c r="D783" t="s">
        <v>79</v>
      </c>
      <c r="E783" t="s">
        <v>43</v>
      </c>
      <c r="F783" s="6">
        <v>0.30208333333333331</v>
      </c>
      <c r="G783">
        <v>131</v>
      </c>
      <c r="H783" s="6">
        <f>FLOOR(tblPivotData[[#This Row],[Time]],Summary!$B$6/1440)</f>
        <v>0.30208333333333331</v>
      </c>
      <c r="I783" s="49">
        <f>INDEX(PeakCalc!$L$10:$L$303,MATCH(tblPivotData[[#This Row],[Time]],PeakCalc!$G$10:$G$303,0))</f>
        <v>0</v>
      </c>
    </row>
    <row r="784" spans="1:9" x14ac:dyDescent="0.25">
      <c r="A784" t="s">
        <v>96</v>
      </c>
      <c r="B784" t="s">
        <v>108</v>
      </c>
      <c r="C784" t="s">
        <v>94</v>
      </c>
      <c r="D784" t="s">
        <v>79</v>
      </c>
      <c r="E784" t="s">
        <v>43</v>
      </c>
      <c r="F784" s="6">
        <v>0.3125</v>
      </c>
      <c r="G784">
        <v>174</v>
      </c>
      <c r="H784" s="6">
        <f>FLOOR(tblPivotData[[#This Row],[Time]],Summary!$B$6/1440)</f>
        <v>0.3125</v>
      </c>
      <c r="I784" s="49">
        <f>INDEX(PeakCalc!$L$10:$L$303,MATCH(tblPivotData[[#This Row],[Time]],PeakCalc!$G$10:$G$303,0))</f>
        <v>0</v>
      </c>
    </row>
    <row r="785" spans="1:9" x14ac:dyDescent="0.25">
      <c r="A785" t="s">
        <v>96</v>
      </c>
      <c r="B785" t="s">
        <v>108</v>
      </c>
      <c r="C785" t="s">
        <v>94</v>
      </c>
      <c r="D785" t="s">
        <v>79</v>
      </c>
      <c r="E785" t="s">
        <v>43</v>
      </c>
      <c r="F785" s="6">
        <v>0.32291666666666669</v>
      </c>
      <c r="G785">
        <v>181</v>
      </c>
      <c r="H785" s="6">
        <f>FLOOR(tblPivotData[[#This Row],[Time]],Summary!$B$6/1440)</f>
        <v>0.32291666666666663</v>
      </c>
      <c r="I785" s="49">
        <f>INDEX(PeakCalc!$L$10:$L$303,MATCH(tblPivotData[[#This Row],[Time]],PeakCalc!$G$10:$G$303,0))</f>
        <v>1</v>
      </c>
    </row>
    <row r="786" spans="1:9" x14ac:dyDescent="0.25">
      <c r="A786" t="s">
        <v>96</v>
      </c>
      <c r="B786" t="s">
        <v>108</v>
      </c>
      <c r="C786" t="s">
        <v>94</v>
      </c>
      <c r="D786" t="s">
        <v>79</v>
      </c>
      <c r="E786" t="s">
        <v>43</v>
      </c>
      <c r="F786" s="6">
        <v>0.33333333333333331</v>
      </c>
      <c r="G786">
        <v>173</v>
      </c>
      <c r="H786" s="6">
        <f>FLOOR(tblPivotData[[#This Row],[Time]],Summary!$B$6/1440)</f>
        <v>0.33333333333333331</v>
      </c>
      <c r="I786" s="49">
        <f>INDEX(PeakCalc!$L$10:$L$303,MATCH(tblPivotData[[#This Row],[Time]],PeakCalc!$G$10:$G$303,0))</f>
        <v>1</v>
      </c>
    </row>
    <row r="787" spans="1:9" x14ac:dyDescent="0.25">
      <c r="A787" t="s">
        <v>96</v>
      </c>
      <c r="B787" t="s">
        <v>108</v>
      </c>
      <c r="C787" t="s">
        <v>94</v>
      </c>
      <c r="D787" t="s">
        <v>79</v>
      </c>
      <c r="E787" t="s">
        <v>43</v>
      </c>
      <c r="F787" s="6">
        <v>0.34375</v>
      </c>
      <c r="G787">
        <v>177</v>
      </c>
      <c r="H787" s="6">
        <f>FLOOR(tblPivotData[[#This Row],[Time]],Summary!$B$6/1440)</f>
        <v>0.34375</v>
      </c>
      <c r="I787" s="49">
        <f>INDEX(PeakCalc!$L$10:$L$303,MATCH(tblPivotData[[#This Row],[Time]],PeakCalc!$G$10:$G$303,0))</f>
        <v>1</v>
      </c>
    </row>
    <row r="788" spans="1:9" x14ac:dyDescent="0.25">
      <c r="A788" t="s">
        <v>96</v>
      </c>
      <c r="B788" t="s">
        <v>108</v>
      </c>
      <c r="C788" t="s">
        <v>94</v>
      </c>
      <c r="D788" t="s">
        <v>79</v>
      </c>
      <c r="E788" t="s">
        <v>43</v>
      </c>
      <c r="F788" s="6">
        <v>0.35416666666666669</v>
      </c>
      <c r="G788">
        <v>178</v>
      </c>
      <c r="H788" s="6">
        <f>FLOOR(tblPivotData[[#This Row],[Time]],Summary!$B$6/1440)</f>
        <v>0.35416666666666663</v>
      </c>
      <c r="I788" s="49">
        <f>INDEX(PeakCalc!$L$10:$L$303,MATCH(tblPivotData[[#This Row],[Time]],PeakCalc!$G$10:$G$303,0))</f>
        <v>1</v>
      </c>
    </row>
    <row r="789" spans="1:9" x14ac:dyDescent="0.25">
      <c r="A789" t="s">
        <v>96</v>
      </c>
      <c r="B789" t="s">
        <v>108</v>
      </c>
      <c r="C789" t="s">
        <v>94</v>
      </c>
      <c r="D789" t="s">
        <v>79</v>
      </c>
      <c r="E789" t="s">
        <v>43</v>
      </c>
      <c r="F789" s="6">
        <v>0.36458333333333331</v>
      </c>
      <c r="G789">
        <v>148</v>
      </c>
      <c r="H789" s="6">
        <f>FLOOR(tblPivotData[[#This Row],[Time]],Summary!$B$6/1440)</f>
        <v>0.36458333333333331</v>
      </c>
      <c r="I789" s="49">
        <f>INDEX(PeakCalc!$L$10:$L$303,MATCH(tblPivotData[[#This Row],[Time]],PeakCalc!$G$10:$G$303,0))</f>
        <v>0</v>
      </c>
    </row>
    <row r="790" spans="1:9" x14ac:dyDescent="0.25">
      <c r="A790" t="s">
        <v>96</v>
      </c>
      <c r="B790" t="s">
        <v>108</v>
      </c>
      <c r="C790" t="s">
        <v>94</v>
      </c>
      <c r="D790" t="s">
        <v>79</v>
      </c>
      <c r="E790" t="s">
        <v>90</v>
      </c>
      <c r="F790" s="6">
        <v>0.54166666666666663</v>
      </c>
      <c r="G790">
        <v>166</v>
      </c>
      <c r="H790" s="6">
        <f>FLOOR(tblPivotData[[#This Row],[Time]],Summary!$B$6/1440)</f>
        <v>0.54166666666666663</v>
      </c>
      <c r="I790" s="49">
        <f>INDEX(PeakCalc!$L$10:$L$303,MATCH(tblPivotData[[#This Row],[Time]],PeakCalc!$G$10:$G$303,0))</f>
        <v>1</v>
      </c>
    </row>
    <row r="791" spans="1:9" x14ac:dyDescent="0.25">
      <c r="A791" t="s">
        <v>96</v>
      </c>
      <c r="B791" t="s">
        <v>108</v>
      </c>
      <c r="C791" t="s">
        <v>94</v>
      </c>
      <c r="D791" t="s">
        <v>79</v>
      </c>
      <c r="E791" t="s">
        <v>90</v>
      </c>
      <c r="F791" s="6">
        <v>0.55208333333333337</v>
      </c>
      <c r="G791">
        <v>142</v>
      </c>
      <c r="H791" s="6">
        <f>FLOOR(tblPivotData[[#This Row],[Time]],Summary!$B$6/1440)</f>
        <v>0.55208333333333326</v>
      </c>
      <c r="I791" s="49">
        <f>INDEX(PeakCalc!$L$10:$L$303,MATCH(tblPivotData[[#This Row],[Time]],PeakCalc!$G$10:$G$303,0))</f>
        <v>1</v>
      </c>
    </row>
    <row r="792" spans="1:9" x14ac:dyDescent="0.25">
      <c r="A792" t="s">
        <v>96</v>
      </c>
      <c r="B792" t="s">
        <v>108</v>
      </c>
      <c r="C792" t="s">
        <v>94</v>
      </c>
      <c r="D792" t="s">
        <v>79</v>
      </c>
      <c r="E792" t="s">
        <v>90</v>
      </c>
      <c r="F792" s="6">
        <v>0.5625</v>
      </c>
      <c r="G792">
        <v>174</v>
      </c>
      <c r="H792" s="6">
        <f>FLOOR(tblPivotData[[#This Row],[Time]],Summary!$B$6/1440)</f>
        <v>0.5625</v>
      </c>
      <c r="I792" s="49">
        <f>INDEX(PeakCalc!$L$10:$L$303,MATCH(tblPivotData[[#This Row],[Time]],PeakCalc!$G$10:$G$303,0))</f>
        <v>1</v>
      </c>
    </row>
    <row r="793" spans="1:9" x14ac:dyDescent="0.25">
      <c r="A793" t="s">
        <v>96</v>
      </c>
      <c r="B793" t="s">
        <v>108</v>
      </c>
      <c r="C793" t="s">
        <v>94</v>
      </c>
      <c r="D793" t="s">
        <v>79</v>
      </c>
      <c r="E793" t="s">
        <v>90</v>
      </c>
      <c r="F793" s="6">
        <v>0.57291666666666663</v>
      </c>
      <c r="G793">
        <v>178</v>
      </c>
      <c r="H793" s="6">
        <f>FLOOR(tblPivotData[[#This Row],[Time]],Summary!$B$6/1440)</f>
        <v>0.57291666666666663</v>
      </c>
      <c r="I793" s="49">
        <f>INDEX(PeakCalc!$L$10:$L$303,MATCH(tblPivotData[[#This Row],[Time]],PeakCalc!$G$10:$G$303,0))</f>
        <v>1</v>
      </c>
    </row>
    <row r="794" spans="1:9" x14ac:dyDescent="0.25">
      <c r="A794" t="s">
        <v>96</v>
      </c>
      <c r="B794" t="s">
        <v>108</v>
      </c>
      <c r="C794" t="s">
        <v>94</v>
      </c>
      <c r="D794" t="s">
        <v>79</v>
      </c>
      <c r="E794" t="s">
        <v>44</v>
      </c>
      <c r="F794" s="6">
        <v>0.66666666666666663</v>
      </c>
      <c r="G794">
        <v>160</v>
      </c>
      <c r="H794" s="6">
        <f>FLOOR(tblPivotData[[#This Row],[Time]],Summary!$B$6/1440)</f>
        <v>0.66666666666666663</v>
      </c>
      <c r="I794" s="49">
        <f>INDEX(PeakCalc!$L$10:$L$303,MATCH(tblPivotData[[#This Row],[Time]],PeakCalc!$G$10:$G$303,0))</f>
        <v>0</v>
      </c>
    </row>
    <row r="795" spans="1:9" x14ac:dyDescent="0.25">
      <c r="A795" t="s">
        <v>96</v>
      </c>
      <c r="B795" t="s">
        <v>108</v>
      </c>
      <c r="C795" t="s">
        <v>94</v>
      </c>
      <c r="D795" t="s">
        <v>79</v>
      </c>
      <c r="E795" t="s">
        <v>44</v>
      </c>
      <c r="F795" s="6">
        <v>0.67708333333333337</v>
      </c>
      <c r="G795">
        <v>156</v>
      </c>
      <c r="H795" s="6">
        <f>FLOOR(tblPivotData[[#This Row],[Time]],Summary!$B$6/1440)</f>
        <v>0.67708333333333326</v>
      </c>
      <c r="I795" s="49">
        <f>INDEX(PeakCalc!$L$10:$L$303,MATCH(tblPivotData[[#This Row],[Time]],PeakCalc!$G$10:$G$303,0))</f>
        <v>1</v>
      </c>
    </row>
    <row r="796" spans="1:9" x14ac:dyDescent="0.25">
      <c r="A796" t="s">
        <v>96</v>
      </c>
      <c r="B796" t="s">
        <v>108</v>
      </c>
      <c r="C796" t="s">
        <v>94</v>
      </c>
      <c r="D796" t="s">
        <v>79</v>
      </c>
      <c r="E796" t="s">
        <v>44</v>
      </c>
      <c r="F796" s="6">
        <v>0.6875</v>
      </c>
      <c r="G796">
        <v>182</v>
      </c>
      <c r="H796" s="6">
        <f>FLOOR(tblPivotData[[#This Row],[Time]],Summary!$B$6/1440)</f>
        <v>0.6875</v>
      </c>
      <c r="I796" s="49">
        <f>INDEX(PeakCalc!$L$10:$L$303,MATCH(tblPivotData[[#This Row],[Time]],PeakCalc!$G$10:$G$303,0))</f>
        <v>1</v>
      </c>
    </row>
    <row r="797" spans="1:9" x14ac:dyDescent="0.25">
      <c r="A797" t="s">
        <v>96</v>
      </c>
      <c r="B797" t="s">
        <v>108</v>
      </c>
      <c r="C797" t="s">
        <v>94</v>
      </c>
      <c r="D797" t="s">
        <v>79</v>
      </c>
      <c r="E797" t="s">
        <v>44</v>
      </c>
      <c r="F797" s="6">
        <v>0.69791666666666663</v>
      </c>
      <c r="G797">
        <v>205</v>
      </c>
      <c r="H797" s="6">
        <f>FLOOR(tblPivotData[[#This Row],[Time]],Summary!$B$6/1440)</f>
        <v>0.69791666666666663</v>
      </c>
      <c r="I797" s="49">
        <f>INDEX(PeakCalc!$L$10:$L$303,MATCH(tblPivotData[[#This Row],[Time]],PeakCalc!$G$10:$G$303,0))</f>
        <v>1</v>
      </c>
    </row>
    <row r="798" spans="1:9" x14ac:dyDescent="0.25">
      <c r="A798" t="s">
        <v>96</v>
      </c>
      <c r="B798" t="s">
        <v>108</v>
      </c>
      <c r="C798" t="s">
        <v>94</v>
      </c>
      <c r="D798" t="s">
        <v>79</v>
      </c>
      <c r="E798" t="s">
        <v>44</v>
      </c>
      <c r="F798" s="6">
        <v>0.70833333333333337</v>
      </c>
      <c r="G798">
        <v>178</v>
      </c>
      <c r="H798" s="6">
        <f>FLOOR(tblPivotData[[#This Row],[Time]],Summary!$B$6/1440)</f>
        <v>0.70833333333333326</v>
      </c>
      <c r="I798" s="49">
        <f>INDEX(PeakCalc!$L$10:$L$303,MATCH(tblPivotData[[#This Row],[Time]],PeakCalc!$G$10:$G$303,0))</f>
        <v>1</v>
      </c>
    </row>
    <row r="799" spans="1:9" x14ac:dyDescent="0.25">
      <c r="A799" t="s">
        <v>96</v>
      </c>
      <c r="B799" t="s">
        <v>108</v>
      </c>
      <c r="C799" t="s">
        <v>94</v>
      </c>
      <c r="D799" t="s">
        <v>79</v>
      </c>
      <c r="E799" t="s">
        <v>44</v>
      </c>
      <c r="F799" s="6">
        <v>0.71875</v>
      </c>
      <c r="G799">
        <v>200</v>
      </c>
      <c r="H799" s="6">
        <f>FLOOR(tblPivotData[[#This Row],[Time]],Summary!$B$6/1440)</f>
        <v>0.71875</v>
      </c>
      <c r="I799" s="49">
        <f>INDEX(PeakCalc!$L$10:$L$303,MATCH(tblPivotData[[#This Row],[Time]],PeakCalc!$G$10:$G$303,0))</f>
        <v>0</v>
      </c>
    </row>
    <row r="800" spans="1:9" x14ac:dyDescent="0.25">
      <c r="A800" t="s">
        <v>96</v>
      </c>
      <c r="B800" t="s">
        <v>108</v>
      </c>
      <c r="C800" t="s">
        <v>94</v>
      </c>
      <c r="D800" t="s">
        <v>79</v>
      </c>
      <c r="E800" t="s">
        <v>44</v>
      </c>
      <c r="F800" s="6">
        <v>0.72916666666666663</v>
      </c>
      <c r="G800">
        <v>129</v>
      </c>
      <c r="H800" s="6">
        <f>FLOOR(tblPivotData[[#This Row],[Time]],Summary!$B$6/1440)</f>
        <v>0.72916666666666663</v>
      </c>
      <c r="I800" s="49">
        <f>INDEX(PeakCalc!$L$10:$L$303,MATCH(tblPivotData[[#This Row],[Time]],PeakCalc!$G$10:$G$303,0))</f>
        <v>0</v>
      </c>
    </row>
    <row r="801" spans="1:9" x14ac:dyDescent="0.25">
      <c r="A801" t="s">
        <v>96</v>
      </c>
      <c r="B801" t="s">
        <v>108</v>
      </c>
      <c r="C801" t="s">
        <v>94</v>
      </c>
      <c r="D801" t="s">
        <v>79</v>
      </c>
      <c r="E801" t="s">
        <v>44</v>
      </c>
      <c r="F801" s="6">
        <v>0.73958333333333337</v>
      </c>
      <c r="G801">
        <v>96</v>
      </c>
      <c r="H801" s="6">
        <f>FLOOR(tblPivotData[[#This Row],[Time]],Summary!$B$6/1440)</f>
        <v>0.73958333333333326</v>
      </c>
      <c r="I801" s="49">
        <f>INDEX(PeakCalc!$L$10:$L$303,MATCH(tblPivotData[[#This Row],[Time]],PeakCalc!$G$10:$G$303,0))</f>
        <v>0</v>
      </c>
    </row>
    <row r="802" spans="1:9" x14ac:dyDescent="0.25">
      <c r="A802" t="s">
        <v>96</v>
      </c>
      <c r="B802" t="s">
        <v>108</v>
      </c>
      <c r="C802" t="s">
        <v>94</v>
      </c>
      <c r="D802" t="s">
        <v>89</v>
      </c>
      <c r="E802" t="s">
        <v>43</v>
      </c>
      <c r="F802" s="6">
        <v>0.29166666666666669</v>
      </c>
      <c r="G802">
        <v>9</v>
      </c>
      <c r="H802" s="6">
        <f>FLOOR(tblPivotData[[#This Row],[Time]],Summary!$B$6/1440)</f>
        <v>0.29166666666666663</v>
      </c>
      <c r="I802" s="49">
        <f>INDEX(PeakCalc!$L$10:$L$303,MATCH(tblPivotData[[#This Row],[Time]],PeakCalc!$G$10:$G$303,0))</f>
        <v>0</v>
      </c>
    </row>
    <row r="803" spans="1:9" x14ac:dyDescent="0.25">
      <c r="A803" t="s">
        <v>96</v>
      </c>
      <c r="B803" t="s">
        <v>108</v>
      </c>
      <c r="C803" t="s">
        <v>94</v>
      </c>
      <c r="D803" t="s">
        <v>89</v>
      </c>
      <c r="E803" t="s">
        <v>43</v>
      </c>
      <c r="F803" s="6">
        <v>0.30208333333333331</v>
      </c>
      <c r="G803">
        <v>9</v>
      </c>
      <c r="H803" s="6">
        <f>FLOOR(tblPivotData[[#This Row],[Time]],Summary!$B$6/1440)</f>
        <v>0.30208333333333331</v>
      </c>
      <c r="I803" s="49">
        <f>INDEX(PeakCalc!$L$10:$L$303,MATCH(tblPivotData[[#This Row],[Time]],PeakCalc!$G$10:$G$303,0))</f>
        <v>0</v>
      </c>
    </row>
    <row r="804" spans="1:9" x14ac:dyDescent="0.25">
      <c r="A804" t="s">
        <v>96</v>
      </c>
      <c r="B804" t="s">
        <v>108</v>
      </c>
      <c r="C804" t="s">
        <v>94</v>
      </c>
      <c r="D804" t="s">
        <v>89</v>
      </c>
      <c r="E804" t="s">
        <v>43</v>
      </c>
      <c r="F804" s="6">
        <v>0.3125</v>
      </c>
      <c r="G804">
        <v>14</v>
      </c>
      <c r="H804" s="6">
        <f>FLOOR(tblPivotData[[#This Row],[Time]],Summary!$B$6/1440)</f>
        <v>0.3125</v>
      </c>
      <c r="I804" s="49">
        <f>INDEX(PeakCalc!$L$10:$L$303,MATCH(tblPivotData[[#This Row],[Time]],PeakCalc!$G$10:$G$303,0))</f>
        <v>0</v>
      </c>
    </row>
    <row r="805" spans="1:9" x14ac:dyDescent="0.25">
      <c r="A805" t="s">
        <v>96</v>
      </c>
      <c r="B805" t="s">
        <v>108</v>
      </c>
      <c r="C805" t="s">
        <v>94</v>
      </c>
      <c r="D805" t="s">
        <v>89</v>
      </c>
      <c r="E805" t="s">
        <v>43</v>
      </c>
      <c r="F805" s="6">
        <v>0.32291666666666669</v>
      </c>
      <c r="G805">
        <v>10</v>
      </c>
      <c r="H805" s="6">
        <f>FLOOR(tblPivotData[[#This Row],[Time]],Summary!$B$6/1440)</f>
        <v>0.32291666666666663</v>
      </c>
      <c r="I805" s="49">
        <f>INDEX(PeakCalc!$L$10:$L$303,MATCH(tblPivotData[[#This Row],[Time]],PeakCalc!$G$10:$G$303,0))</f>
        <v>1</v>
      </c>
    </row>
    <row r="806" spans="1:9" x14ac:dyDescent="0.25">
      <c r="A806" t="s">
        <v>96</v>
      </c>
      <c r="B806" t="s">
        <v>108</v>
      </c>
      <c r="C806" t="s">
        <v>94</v>
      </c>
      <c r="D806" t="s">
        <v>89</v>
      </c>
      <c r="E806" t="s">
        <v>43</v>
      </c>
      <c r="F806" s="6">
        <v>0.33333333333333331</v>
      </c>
      <c r="G806">
        <v>10</v>
      </c>
      <c r="H806" s="6">
        <f>FLOOR(tblPivotData[[#This Row],[Time]],Summary!$B$6/1440)</f>
        <v>0.33333333333333331</v>
      </c>
      <c r="I806" s="49">
        <f>INDEX(PeakCalc!$L$10:$L$303,MATCH(tblPivotData[[#This Row],[Time]],PeakCalc!$G$10:$G$303,0))</f>
        <v>1</v>
      </c>
    </row>
    <row r="807" spans="1:9" x14ac:dyDescent="0.25">
      <c r="A807" t="s">
        <v>96</v>
      </c>
      <c r="B807" t="s">
        <v>108</v>
      </c>
      <c r="C807" t="s">
        <v>94</v>
      </c>
      <c r="D807" t="s">
        <v>89</v>
      </c>
      <c r="E807" t="s">
        <v>43</v>
      </c>
      <c r="F807" s="6">
        <v>0.34375</v>
      </c>
      <c r="G807">
        <v>7</v>
      </c>
      <c r="H807" s="6">
        <f>FLOOR(tblPivotData[[#This Row],[Time]],Summary!$B$6/1440)</f>
        <v>0.34375</v>
      </c>
      <c r="I807" s="49">
        <f>INDEX(PeakCalc!$L$10:$L$303,MATCH(tblPivotData[[#This Row],[Time]],PeakCalc!$G$10:$G$303,0))</f>
        <v>1</v>
      </c>
    </row>
    <row r="808" spans="1:9" x14ac:dyDescent="0.25">
      <c r="A808" t="s">
        <v>96</v>
      </c>
      <c r="B808" t="s">
        <v>108</v>
      </c>
      <c r="C808" t="s">
        <v>94</v>
      </c>
      <c r="D808" t="s">
        <v>89</v>
      </c>
      <c r="E808" t="s">
        <v>43</v>
      </c>
      <c r="F808" s="6">
        <v>0.35416666666666669</v>
      </c>
      <c r="G808">
        <v>8</v>
      </c>
      <c r="H808" s="6">
        <f>FLOOR(tblPivotData[[#This Row],[Time]],Summary!$B$6/1440)</f>
        <v>0.35416666666666663</v>
      </c>
      <c r="I808" s="49">
        <f>INDEX(PeakCalc!$L$10:$L$303,MATCH(tblPivotData[[#This Row],[Time]],PeakCalc!$G$10:$G$303,0))</f>
        <v>1</v>
      </c>
    </row>
    <row r="809" spans="1:9" x14ac:dyDescent="0.25">
      <c r="A809" t="s">
        <v>96</v>
      </c>
      <c r="B809" t="s">
        <v>108</v>
      </c>
      <c r="C809" t="s">
        <v>94</v>
      </c>
      <c r="D809" t="s">
        <v>89</v>
      </c>
      <c r="E809" t="s">
        <v>43</v>
      </c>
      <c r="F809" s="6">
        <v>0.36458333333333331</v>
      </c>
      <c r="G809">
        <v>8</v>
      </c>
      <c r="H809" s="6">
        <f>FLOOR(tblPivotData[[#This Row],[Time]],Summary!$B$6/1440)</f>
        <v>0.36458333333333331</v>
      </c>
      <c r="I809" s="49">
        <f>INDEX(PeakCalc!$L$10:$L$303,MATCH(tblPivotData[[#This Row],[Time]],PeakCalc!$G$10:$G$303,0))</f>
        <v>0</v>
      </c>
    </row>
    <row r="810" spans="1:9" x14ac:dyDescent="0.25">
      <c r="A810" t="s">
        <v>96</v>
      </c>
      <c r="B810" t="s">
        <v>108</v>
      </c>
      <c r="C810" t="s">
        <v>94</v>
      </c>
      <c r="D810" t="s">
        <v>89</v>
      </c>
      <c r="E810" t="s">
        <v>90</v>
      </c>
      <c r="F810" s="6">
        <v>0.54166666666666663</v>
      </c>
      <c r="G810">
        <v>5</v>
      </c>
      <c r="H810" s="6">
        <f>FLOOR(tblPivotData[[#This Row],[Time]],Summary!$B$6/1440)</f>
        <v>0.54166666666666663</v>
      </c>
      <c r="I810" s="49">
        <f>INDEX(PeakCalc!$L$10:$L$303,MATCH(tblPivotData[[#This Row],[Time]],PeakCalc!$G$10:$G$303,0))</f>
        <v>1</v>
      </c>
    </row>
    <row r="811" spans="1:9" x14ac:dyDescent="0.25">
      <c r="A811" t="s">
        <v>96</v>
      </c>
      <c r="B811" t="s">
        <v>108</v>
      </c>
      <c r="C811" t="s">
        <v>94</v>
      </c>
      <c r="D811" t="s">
        <v>89</v>
      </c>
      <c r="E811" t="s">
        <v>90</v>
      </c>
      <c r="F811" s="6">
        <v>0.55208333333333337</v>
      </c>
      <c r="G811">
        <v>8</v>
      </c>
      <c r="H811" s="6">
        <f>FLOOR(tblPivotData[[#This Row],[Time]],Summary!$B$6/1440)</f>
        <v>0.55208333333333326</v>
      </c>
      <c r="I811" s="49">
        <f>INDEX(PeakCalc!$L$10:$L$303,MATCH(tblPivotData[[#This Row],[Time]],PeakCalc!$G$10:$G$303,0))</f>
        <v>1</v>
      </c>
    </row>
    <row r="812" spans="1:9" x14ac:dyDescent="0.25">
      <c r="A812" t="s">
        <v>96</v>
      </c>
      <c r="B812" t="s">
        <v>108</v>
      </c>
      <c r="C812" t="s">
        <v>94</v>
      </c>
      <c r="D812" t="s">
        <v>89</v>
      </c>
      <c r="E812" t="s">
        <v>90</v>
      </c>
      <c r="F812" s="6">
        <v>0.5625</v>
      </c>
      <c r="G812">
        <v>7</v>
      </c>
      <c r="H812" s="6">
        <f>FLOOR(tblPivotData[[#This Row],[Time]],Summary!$B$6/1440)</f>
        <v>0.5625</v>
      </c>
      <c r="I812" s="49">
        <f>INDEX(PeakCalc!$L$10:$L$303,MATCH(tblPivotData[[#This Row],[Time]],PeakCalc!$G$10:$G$303,0))</f>
        <v>1</v>
      </c>
    </row>
    <row r="813" spans="1:9" x14ac:dyDescent="0.25">
      <c r="A813" t="s">
        <v>96</v>
      </c>
      <c r="B813" t="s">
        <v>108</v>
      </c>
      <c r="C813" t="s">
        <v>94</v>
      </c>
      <c r="D813" t="s">
        <v>89</v>
      </c>
      <c r="E813" t="s">
        <v>90</v>
      </c>
      <c r="F813" s="6">
        <v>0.57291666666666663</v>
      </c>
      <c r="G813">
        <v>8</v>
      </c>
      <c r="H813" s="6">
        <f>FLOOR(tblPivotData[[#This Row],[Time]],Summary!$B$6/1440)</f>
        <v>0.57291666666666663</v>
      </c>
      <c r="I813" s="49">
        <f>INDEX(PeakCalc!$L$10:$L$303,MATCH(tblPivotData[[#This Row],[Time]],PeakCalc!$G$10:$G$303,0))</f>
        <v>1</v>
      </c>
    </row>
    <row r="814" spans="1:9" x14ac:dyDescent="0.25">
      <c r="A814" t="s">
        <v>96</v>
      </c>
      <c r="B814" t="s">
        <v>108</v>
      </c>
      <c r="C814" t="s">
        <v>94</v>
      </c>
      <c r="D814" t="s">
        <v>89</v>
      </c>
      <c r="E814" t="s">
        <v>44</v>
      </c>
      <c r="F814" s="6">
        <v>0.66666666666666663</v>
      </c>
      <c r="G814">
        <v>7</v>
      </c>
      <c r="H814" s="6">
        <f>FLOOR(tblPivotData[[#This Row],[Time]],Summary!$B$6/1440)</f>
        <v>0.66666666666666663</v>
      </c>
      <c r="I814" s="49">
        <f>INDEX(PeakCalc!$L$10:$L$303,MATCH(tblPivotData[[#This Row],[Time]],PeakCalc!$G$10:$G$303,0))</f>
        <v>0</v>
      </c>
    </row>
    <row r="815" spans="1:9" x14ac:dyDescent="0.25">
      <c r="A815" t="s">
        <v>96</v>
      </c>
      <c r="B815" t="s">
        <v>108</v>
      </c>
      <c r="C815" t="s">
        <v>94</v>
      </c>
      <c r="D815" t="s">
        <v>89</v>
      </c>
      <c r="E815" t="s">
        <v>44</v>
      </c>
      <c r="F815" s="6">
        <v>0.67708333333333337</v>
      </c>
      <c r="G815">
        <v>11</v>
      </c>
      <c r="H815" s="6">
        <f>FLOOR(tblPivotData[[#This Row],[Time]],Summary!$B$6/1440)</f>
        <v>0.67708333333333326</v>
      </c>
      <c r="I815" s="49">
        <f>INDEX(PeakCalc!$L$10:$L$303,MATCH(tblPivotData[[#This Row],[Time]],PeakCalc!$G$10:$G$303,0))</f>
        <v>1</v>
      </c>
    </row>
    <row r="816" spans="1:9" x14ac:dyDescent="0.25">
      <c r="A816" t="s">
        <v>96</v>
      </c>
      <c r="B816" t="s">
        <v>108</v>
      </c>
      <c r="C816" t="s">
        <v>94</v>
      </c>
      <c r="D816" t="s">
        <v>89</v>
      </c>
      <c r="E816" t="s">
        <v>44</v>
      </c>
      <c r="F816" s="6">
        <v>0.6875</v>
      </c>
      <c r="G816">
        <v>3</v>
      </c>
      <c r="H816" s="6">
        <f>FLOOR(tblPivotData[[#This Row],[Time]],Summary!$B$6/1440)</f>
        <v>0.6875</v>
      </c>
      <c r="I816" s="49">
        <f>INDEX(PeakCalc!$L$10:$L$303,MATCH(tblPivotData[[#This Row],[Time]],PeakCalc!$G$10:$G$303,0))</f>
        <v>1</v>
      </c>
    </row>
    <row r="817" spans="1:9" x14ac:dyDescent="0.25">
      <c r="A817" t="s">
        <v>96</v>
      </c>
      <c r="B817" t="s">
        <v>108</v>
      </c>
      <c r="C817" t="s">
        <v>94</v>
      </c>
      <c r="D817" t="s">
        <v>89</v>
      </c>
      <c r="E817" t="s">
        <v>44</v>
      </c>
      <c r="F817" s="6">
        <v>0.69791666666666663</v>
      </c>
      <c r="G817">
        <v>2</v>
      </c>
      <c r="H817" s="6">
        <f>FLOOR(tblPivotData[[#This Row],[Time]],Summary!$B$6/1440)</f>
        <v>0.69791666666666663</v>
      </c>
      <c r="I817" s="49">
        <f>INDEX(PeakCalc!$L$10:$L$303,MATCH(tblPivotData[[#This Row],[Time]],PeakCalc!$G$10:$G$303,0))</f>
        <v>1</v>
      </c>
    </row>
    <row r="818" spans="1:9" x14ac:dyDescent="0.25">
      <c r="A818" t="s">
        <v>96</v>
      </c>
      <c r="B818" t="s">
        <v>108</v>
      </c>
      <c r="C818" t="s">
        <v>94</v>
      </c>
      <c r="D818" t="s">
        <v>89</v>
      </c>
      <c r="E818" t="s">
        <v>44</v>
      </c>
      <c r="F818" s="6">
        <v>0.70833333333333337</v>
      </c>
      <c r="G818">
        <v>3</v>
      </c>
      <c r="H818" s="6">
        <f>FLOOR(tblPivotData[[#This Row],[Time]],Summary!$B$6/1440)</f>
        <v>0.70833333333333326</v>
      </c>
      <c r="I818" s="49">
        <f>INDEX(PeakCalc!$L$10:$L$303,MATCH(tblPivotData[[#This Row],[Time]],PeakCalc!$G$10:$G$303,0))</f>
        <v>1</v>
      </c>
    </row>
    <row r="819" spans="1:9" x14ac:dyDescent="0.25">
      <c r="A819" t="s">
        <v>96</v>
      </c>
      <c r="B819" t="s">
        <v>108</v>
      </c>
      <c r="C819" t="s">
        <v>94</v>
      </c>
      <c r="D819" t="s">
        <v>89</v>
      </c>
      <c r="E819" t="s">
        <v>44</v>
      </c>
      <c r="F819" s="6">
        <v>0.71875</v>
      </c>
      <c r="G819">
        <v>2</v>
      </c>
      <c r="H819" s="6">
        <f>FLOOR(tblPivotData[[#This Row],[Time]],Summary!$B$6/1440)</f>
        <v>0.71875</v>
      </c>
      <c r="I819" s="49">
        <f>INDEX(PeakCalc!$L$10:$L$303,MATCH(tblPivotData[[#This Row],[Time]],PeakCalc!$G$10:$G$303,0))</f>
        <v>0</v>
      </c>
    </row>
    <row r="820" spans="1:9" x14ac:dyDescent="0.25">
      <c r="A820" t="s">
        <v>96</v>
      </c>
      <c r="B820" t="s">
        <v>108</v>
      </c>
      <c r="C820" t="s">
        <v>94</v>
      </c>
      <c r="D820" t="s">
        <v>89</v>
      </c>
      <c r="E820" t="s">
        <v>44</v>
      </c>
      <c r="F820" s="6">
        <v>0.72916666666666663</v>
      </c>
      <c r="G820">
        <v>3</v>
      </c>
      <c r="H820" s="6">
        <f>FLOOR(tblPivotData[[#This Row],[Time]],Summary!$B$6/1440)</f>
        <v>0.72916666666666663</v>
      </c>
      <c r="I820" s="49">
        <f>INDEX(PeakCalc!$L$10:$L$303,MATCH(tblPivotData[[#This Row],[Time]],PeakCalc!$G$10:$G$303,0))</f>
        <v>0</v>
      </c>
    </row>
    <row r="821" spans="1:9" x14ac:dyDescent="0.25">
      <c r="A821" t="s">
        <v>96</v>
      </c>
      <c r="B821" t="s">
        <v>108</v>
      </c>
      <c r="C821" t="s">
        <v>94</v>
      </c>
      <c r="D821" t="s">
        <v>89</v>
      </c>
      <c r="E821" t="s">
        <v>44</v>
      </c>
      <c r="F821" s="6">
        <v>0.73958333333333337</v>
      </c>
      <c r="G821">
        <v>3</v>
      </c>
      <c r="H821" s="6">
        <f>FLOOR(tblPivotData[[#This Row],[Time]],Summary!$B$6/1440)</f>
        <v>0.73958333333333326</v>
      </c>
      <c r="I821" s="49">
        <f>INDEX(PeakCalc!$L$10:$L$303,MATCH(tblPivotData[[#This Row],[Time]],PeakCalc!$G$10:$G$303,0))</f>
        <v>0</v>
      </c>
    </row>
    <row r="822" spans="1:9" x14ac:dyDescent="0.25">
      <c r="A822" t="s">
        <v>96</v>
      </c>
      <c r="B822" t="s">
        <v>108</v>
      </c>
      <c r="C822" t="s">
        <v>94</v>
      </c>
      <c r="D822" t="s">
        <v>91</v>
      </c>
      <c r="E822" t="s">
        <v>43</v>
      </c>
      <c r="F822" s="6">
        <v>0.29166666666666669</v>
      </c>
      <c r="G822">
        <v>1</v>
      </c>
      <c r="H822" s="6">
        <f>FLOOR(tblPivotData[[#This Row],[Time]],Summary!$B$6/1440)</f>
        <v>0.29166666666666663</v>
      </c>
      <c r="I822" s="49">
        <f>INDEX(PeakCalc!$L$10:$L$303,MATCH(tblPivotData[[#This Row],[Time]],PeakCalc!$G$10:$G$303,0))</f>
        <v>0</v>
      </c>
    </row>
    <row r="823" spans="1:9" x14ac:dyDescent="0.25">
      <c r="A823" t="s">
        <v>96</v>
      </c>
      <c r="B823" t="s">
        <v>108</v>
      </c>
      <c r="C823" t="s">
        <v>94</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108</v>
      </c>
      <c r="C824" t="s">
        <v>94</v>
      </c>
      <c r="D824" t="s">
        <v>91</v>
      </c>
      <c r="E824" t="s">
        <v>43</v>
      </c>
      <c r="F824" s="6">
        <v>0.3125</v>
      </c>
      <c r="G824">
        <v>1</v>
      </c>
      <c r="H824" s="6">
        <f>FLOOR(tblPivotData[[#This Row],[Time]],Summary!$B$6/1440)</f>
        <v>0.3125</v>
      </c>
      <c r="I824" s="49">
        <f>INDEX(PeakCalc!$L$10:$L$303,MATCH(tblPivotData[[#This Row],[Time]],PeakCalc!$G$10:$G$303,0))</f>
        <v>0</v>
      </c>
    </row>
    <row r="825" spans="1:9" x14ac:dyDescent="0.25">
      <c r="A825" t="s">
        <v>96</v>
      </c>
      <c r="B825" t="s">
        <v>108</v>
      </c>
      <c r="C825" t="s">
        <v>94</v>
      </c>
      <c r="D825" t="s">
        <v>91</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108</v>
      </c>
      <c r="C826" t="s">
        <v>94</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94</v>
      </c>
      <c r="D827" t="s">
        <v>91</v>
      </c>
      <c r="E827" t="s">
        <v>43</v>
      </c>
      <c r="F827" s="6">
        <v>0.34375</v>
      </c>
      <c r="G827">
        <v>1</v>
      </c>
      <c r="H827" s="6">
        <f>FLOOR(tblPivotData[[#This Row],[Time]],Summary!$B$6/1440)</f>
        <v>0.34375</v>
      </c>
      <c r="I827" s="49">
        <f>INDEX(PeakCalc!$L$10:$L$303,MATCH(tblPivotData[[#This Row],[Time]],PeakCalc!$G$10:$G$303,0))</f>
        <v>1</v>
      </c>
    </row>
    <row r="828" spans="1:9" x14ac:dyDescent="0.25">
      <c r="A828" t="s">
        <v>96</v>
      </c>
      <c r="B828" t="s">
        <v>108</v>
      </c>
      <c r="C828" t="s">
        <v>94</v>
      </c>
      <c r="D828" t="s">
        <v>91</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108</v>
      </c>
      <c r="C829" t="s">
        <v>94</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108</v>
      </c>
      <c r="C830" t="s">
        <v>94</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108</v>
      </c>
      <c r="C831" t="s">
        <v>94</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108</v>
      </c>
      <c r="C832" t="s">
        <v>94</v>
      </c>
      <c r="D832" t="s">
        <v>91</v>
      </c>
      <c r="E832" t="s">
        <v>90</v>
      </c>
      <c r="F832" s="6">
        <v>0.5625</v>
      </c>
      <c r="G832">
        <v>0</v>
      </c>
      <c r="H832" s="6">
        <f>FLOOR(tblPivotData[[#This Row],[Time]],Summary!$B$6/1440)</f>
        <v>0.5625</v>
      </c>
      <c r="I832" s="49">
        <f>INDEX(PeakCalc!$L$10:$L$303,MATCH(tblPivotData[[#This Row],[Time]],PeakCalc!$G$10:$G$303,0))</f>
        <v>1</v>
      </c>
    </row>
    <row r="833" spans="1:9" x14ac:dyDescent="0.25">
      <c r="A833" t="s">
        <v>96</v>
      </c>
      <c r="B833" t="s">
        <v>108</v>
      </c>
      <c r="C833" t="s">
        <v>94</v>
      </c>
      <c r="D833" t="s">
        <v>91</v>
      </c>
      <c r="E833" t="s">
        <v>90</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108</v>
      </c>
      <c r="C834" t="s">
        <v>94</v>
      </c>
      <c r="D834" t="s">
        <v>91</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94</v>
      </c>
      <c r="D835" t="s">
        <v>91</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108</v>
      </c>
      <c r="C836" t="s">
        <v>94</v>
      </c>
      <c r="D836" t="s">
        <v>91</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94</v>
      </c>
      <c r="D837" t="s">
        <v>91</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94</v>
      </c>
      <c r="D838" t="s">
        <v>91</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94</v>
      </c>
      <c r="D839" t="s">
        <v>91</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108</v>
      </c>
      <c r="C840" t="s">
        <v>94</v>
      </c>
      <c r="D840" t="s">
        <v>91</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94</v>
      </c>
      <c r="D841" t="s">
        <v>91</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109</v>
      </c>
      <c r="C842" t="s">
        <v>95</v>
      </c>
      <c r="D842" t="s">
        <v>79</v>
      </c>
      <c r="E842" t="s">
        <v>43</v>
      </c>
      <c r="F842" s="6">
        <v>0.29166666666666669</v>
      </c>
      <c r="G842">
        <v>53</v>
      </c>
      <c r="H842" s="6">
        <f>FLOOR(tblPivotData[[#This Row],[Time]],Summary!$B$6/1440)</f>
        <v>0.29166666666666663</v>
      </c>
      <c r="I842" s="49">
        <f>INDEX(PeakCalc!$L$10:$L$303,MATCH(tblPivotData[[#This Row],[Time]],PeakCalc!$G$10:$G$303,0))</f>
        <v>0</v>
      </c>
    </row>
    <row r="843" spans="1:9" x14ac:dyDescent="0.25">
      <c r="A843" t="s">
        <v>96</v>
      </c>
      <c r="B843" t="s">
        <v>109</v>
      </c>
      <c r="C843" t="s">
        <v>95</v>
      </c>
      <c r="D843" t="s">
        <v>79</v>
      </c>
      <c r="E843" t="s">
        <v>43</v>
      </c>
      <c r="F843" s="6">
        <v>0.30208333333333331</v>
      </c>
      <c r="G843">
        <v>67</v>
      </c>
      <c r="H843" s="6">
        <f>FLOOR(tblPivotData[[#This Row],[Time]],Summary!$B$6/1440)</f>
        <v>0.30208333333333331</v>
      </c>
      <c r="I843" s="49">
        <f>INDEX(PeakCalc!$L$10:$L$303,MATCH(tblPivotData[[#This Row],[Time]],PeakCalc!$G$10:$G$303,0))</f>
        <v>0</v>
      </c>
    </row>
    <row r="844" spans="1:9" x14ac:dyDescent="0.25">
      <c r="A844" t="s">
        <v>96</v>
      </c>
      <c r="B844" t="s">
        <v>109</v>
      </c>
      <c r="C844" t="s">
        <v>95</v>
      </c>
      <c r="D844" t="s">
        <v>79</v>
      </c>
      <c r="E844" t="s">
        <v>43</v>
      </c>
      <c r="F844" s="6">
        <v>0.3125</v>
      </c>
      <c r="G844">
        <v>63</v>
      </c>
      <c r="H844" s="6">
        <f>FLOOR(tblPivotData[[#This Row],[Time]],Summary!$B$6/1440)</f>
        <v>0.3125</v>
      </c>
      <c r="I844" s="49">
        <f>INDEX(PeakCalc!$L$10:$L$303,MATCH(tblPivotData[[#This Row],[Time]],PeakCalc!$G$10:$G$303,0))</f>
        <v>0</v>
      </c>
    </row>
    <row r="845" spans="1:9" x14ac:dyDescent="0.25">
      <c r="A845" t="s">
        <v>96</v>
      </c>
      <c r="B845" t="s">
        <v>109</v>
      </c>
      <c r="C845" t="s">
        <v>95</v>
      </c>
      <c r="D845" t="s">
        <v>79</v>
      </c>
      <c r="E845" t="s">
        <v>43</v>
      </c>
      <c r="F845" s="6">
        <v>0.32291666666666669</v>
      </c>
      <c r="G845">
        <v>60</v>
      </c>
      <c r="H845" s="6">
        <f>FLOOR(tblPivotData[[#This Row],[Time]],Summary!$B$6/1440)</f>
        <v>0.32291666666666663</v>
      </c>
      <c r="I845" s="49">
        <f>INDEX(PeakCalc!$L$10:$L$303,MATCH(tblPivotData[[#This Row],[Time]],PeakCalc!$G$10:$G$303,0))</f>
        <v>1</v>
      </c>
    </row>
    <row r="846" spans="1:9" x14ac:dyDescent="0.25">
      <c r="A846" t="s">
        <v>96</v>
      </c>
      <c r="B846" t="s">
        <v>109</v>
      </c>
      <c r="C846" t="s">
        <v>95</v>
      </c>
      <c r="D846" t="s">
        <v>79</v>
      </c>
      <c r="E846" t="s">
        <v>43</v>
      </c>
      <c r="F846" s="6">
        <v>0.33333333333333331</v>
      </c>
      <c r="G846">
        <v>58</v>
      </c>
      <c r="H846" s="6">
        <f>FLOOR(tblPivotData[[#This Row],[Time]],Summary!$B$6/1440)</f>
        <v>0.33333333333333331</v>
      </c>
      <c r="I846" s="49">
        <f>INDEX(PeakCalc!$L$10:$L$303,MATCH(tblPivotData[[#This Row],[Time]],PeakCalc!$G$10:$G$303,0))</f>
        <v>1</v>
      </c>
    </row>
    <row r="847" spans="1:9" x14ac:dyDescent="0.25">
      <c r="A847" t="s">
        <v>96</v>
      </c>
      <c r="B847" t="s">
        <v>109</v>
      </c>
      <c r="C847" t="s">
        <v>95</v>
      </c>
      <c r="D847" t="s">
        <v>79</v>
      </c>
      <c r="E847" t="s">
        <v>43</v>
      </c>
      <c r="F847" s="6">
        <v>0.34375</v>
      </c>
      <c r="G847">
        <v>84</v>
      </c>
      <c r="H847" s="6">
        <f>FLOOR(tblPivotData[[#This Row],[Time]],Summary!$B$6/1440)</f>
        <v>0.34375</v>
      </c>
      <c r="I847" s="49">
        <f>INDEX(PeakCalc!$L$10:$L$303,MATCH(tblPivotData[[#This Row],[Time]],PeakCalc!$G$10:$G$303,0))</f>
        <v>1</v>
      </c>
    </row>
    <row r="848" spans="1:9" x14ac:dyDescent="0.25">
      <c r="A848" t="s">
        <v>96</v>
      </c>
      <c r="B848" t="s">
        <v>109</v>
      </c>
      <c r="C848" t="s">
        <v>95</v>
      </c>
      <c r="D848" t="s">
        <v>79</v>
      </c>
      <c r="E848" t="s">
        <v>43</v>
      </c>
      <c r="F848" s="6">
        <v>0.35416666666666669</v>
      </c>
      <c r="G848">
        <v>64</v>
      </c>
      <c r="H848" s="6">
        <f>FLOOR(tblPivotData[[#This Row],[Time]],Summary!$B$6/1440)</f>
        <v>0.35416666666666663</v>
      </c>
      <c r="I848" s="49">
        <f>INDEX(PeakCalc!$L$10:$L$303,MATCH(tblPivotData[[#This Row],[Time]],PeakCalc!$G$10:$G$303,0))</f>
        <v>1</v>
      </c>
    </row>
    <row r="849" spans="1:9" x14ac:dyDescent="0.25">
      <c r="A849" t="s">
        <v>96</v>
      </c>
      <c r="B849" t="s">
        <v>109</v>
      </c>
      <c r="C849" t="s">
        <v>95</v>
      </c>
      <c r="D849" t="s">
        <v>79</v>
      </c>
      <c r="E849" t="s">
        <v>43</v>
      </c>
      <c r="F849" s="6">
        <v>0.36458333333333331</v>
      </c>
      <c r="G849">
        <v>70</v>
      </c>
      <c r="H849" s="6">
        <f>FLOOR(tblPivotData[[#This Row],[Time]],Summary!$B$6/1440)</f>
        <v>0.36458333333333331</v>
      </c>
      <c r="I849" s="49">
        <f>INDEX(PeakCalc!$L$10:$L$303,MATCH(tblPivotData[[#This Row],[Time]],PeakCalc!$G$10:$G$303,0))</f>
        <v>0</v>
      </c>
    </row>
    <row r="850" spans="1:9" x14ac:dyDescent="0.25">
      <c r="A850" t="s">
        <v>96</v>
      </c>
      <c r="B850" t="s">
        <v>109</v>
      </c>
      <c r="C850" t="s">
        <v>95</v>
      </c>
      <c r="D850" t="s">
        <v>79</v>
      </c>
      <c r="E850" t="s">
        <v>90</v>
      </c>
      <c r="F850" s="6">
        <v>0.54166666666666663</v>
      </c>
      <c r="G850">
        <v>84</v>
      </c>
      <c r="H850" s="6">
        <f>FLOOR(tblPivotData[[#This Row],[Time]],Summary!$B$6/1440)</f>
        <v>0.54166666666666663</v>
      </c>
      <c r="I850" s="49">
        <f>INDEX(PeakCalc!$L$10:$L$303,MATCH(tblPivotData[[#This Row],[Time]],PeakCalc!$G$10:$G$303,0))</f>
        <v>1</v>
      </c>
    </row>
    <row r="851" spans="1:9" x14ac:dyDescent="0.25">
      <c r="A851" t="s">
        <v>96</v>
      </c>
      <c r="B851" t="s">
        <v>109</v>
      </c>
      <c r="C851" t="s">
        <v>95</v>
      </c>
      <c r="D851" t="s">
        <v>79</v>
      </c>
      <c r="E851" t="s">
        <v>90</v>
      </c>
      <c r="F851" s="6">
        <v>0.55208333333333337</v>
      </c>
      <c r="G851">
        <v>80</v>
      </c>
      <c r="H851" s="6">
        <f>FLOOR(tblPivotData[[#This Row],[Time]],Summary!$B$6/1440)</f>
        <v>0.55208333333333326</v>
      </c>
      <c r="I851" s="49">
        <f>INDEX(PeakCalc!$L$10:$L$303,MATCH(tblPivotData[[#This Row],[Time]],PeakCalc!$G$10:$G$303,0))</f>
        <v>1</v>
      </c>
    </row>
    <row r="852" spans="1:9" x14ac:dyDescent="0.25">
      <c r="A852" t="s">
        <v>96</v>
      </c>
      <c r="B852" t="s">
        <v>109</v>
      </c>
      <c r="C852" t="s">
        <v>95</v>
      </c>
      <c r="D852" t="s">
        <v>79</v>
      </c>
      <c r="E852" t="s">
        <v>90</v>
      </c>
      <c r="F852" s="6">
        <v>0.5625</v>
      </c>
      <c r="G852">
        <v>79</v>
      </c>
      <c r="H852" s="6">
        <f>FLOOR(tblPivotData[[#This Row],[Time]],Summary!$B$6/1440)</f>
        <v>0.5625</v>
      </c>
      <c r="I852" s="49">
        <f>INDEX(PeakCalc!$L$10:$L$303,MATCH(tblPivotData[[#This Row],[Time]],PeakCalc!$G$10:$G$303,0))</f>
        <v>1</v>
      </c>
    </row>
    <row r="853" spans="1:9" x14ac:dyDescent="0.25">
      <c r="A853" t="s">
        <v>96</v>
      </c>
      <c r="B853" t="s">
        <v>109</v>
      </c>
      <c r="C853" t="s">
        <v>95</v>
      </c>
      <c r="D853" t="s">
        <v>79</v>
      </c>
      <c r="E853" t="s">
        <v>90</v>
      </c>
      <c r="F853" s="6">
        <v>0.57291666666666663</v>
      </c>
      <c r="G853">
        <v>84</v>
      </c>
      <c r="H853" s="6">
        <f>FLOOR(tblPivotData[[#This Row],[Time]],Summary!$B$6/1440)</f>
        <v>0.57291666666666663</v>
      </c>
      <c r="I853" s="49">
        <f>INDEX(PeakCalc!$L$10:$L$303,MATCH(tblPivotData[[#This Row],[Time]],PeakCalc!$G$10:$G$303,0))</f>
        <v>1</v>
      </c>
    </row>
    <row r="854" spans="1:9" x14ac:dyDescent="0.25">
      <c r="A854" t="s">
        <v>96</v>
      </c>
      <c r="B854" t="s">
        <v>109</v>
      </c>
      <c r="C854" t="s">
        <v>95</v>
      </c>
      <c r="D854" t="s">
        <v>79</v>
      </c>
      <c r="E854" t="s">
        <v>44</v>
      </c>
      <c r="F854" s="6">
        <v>0.66666666666666663</v>
      </c>
      <c r="G854">
        <v>105</v>
      </c>
      <c r="H854" s="6">
        <f>FLOOR(tblPivotData[[#This Row],[Time]],Summary!$B$6/1440)</f>
        <v>0.66666666666666663</v>
      </c>
      <c r="I854" s="49">
        <f>INDEX(PeakCalc!$L$10:$L$303,MATCH(tblPivotData[[#This Row],[Time]],PeakCalc!$G$10:$G$303,0))</f>
        <v>0</v>
      </c>
    </row>
    <row r="855" spans="1:9" x14ac:dyDescent="0.25">
      <c r="A855" t="s">
        <v>96</v>
      </c>
      <c r="B855" t="s">
        <v>109</v>
      </c>
      <c r="C855" t="s">
        <v>95</v>
      </c>
      <c r="D855" t="s">
        <v>79</v>
      </c>
      <c r="E855" t="s">
        <v>44</v>
      </c>
      <c r="F855" s="6">
        <v>0.67708333333333337</v>
      </c>
      <c r="G855">
        <v>117</v>
      </c>
      <c r="H855" s="6">
        <f>FLOOR(tblPivotData[[#This Row],[Time]],Summary!$B$6/1440)</f>
        <v>0.67708333333333326</v>
      </c>
      <c r="I855" s="49">
        <f>INDEX(PeakCalc!$L$10:$L$303,MATCH(tblPivotData[[#This Row],[Time]],PeakCalc!$G$10:$G$303,0))</f>
        <v>1</v>
      </c>
    </row>
    <row r="856" spans="1:9" x14ac:dyDescent="0.25">
      <c r="A856" t="s">
        <v>96</v>
      </c>
      <c r="B856" t="s">
        <v>109</v>
      </c>
      <c r="C856" t="s">
        <v>95</v>
      </c>
      <c r="D856" t="s">
        <v>79</v>
      </c>
      <c r="E856" t="s">
        <v>44</v>
      </c>
      <c r="F856" s="6">
        <v>0.6875</v>
      </c>
      <c r="G856">
        <v>113</v>
      </c>
      <c r="H856" s="6">
        <f>FLOOR(tblPivotData[[#This Row],[Time]],Summary!$B$6/1440)</f>
        <v>0.6875</v>
      </c>
      <c r="I856" s="49">
        <f>INDEX(PeakCalc!$L$10:$L$303,MATCH(tblPivotData[[#This Row],[Time]],PeakCalc!$G$10:$G$303,0))</f>
        <v>1</v>
      </c>
    </row>
    <row r="857" spans="1:9" x14ac:dyDescent="0.25">
      <c r="A857" t="s">
        <v>96</v>
      </c>
      <c r="B857" t="s">
        <v>109</v>
      </c>
      <c r="C857" t="s">
        <v>95</v>
      </c>
      <c r="D857" t="s">
        <v>79</v>
      </c>
      <c r="E857" t="s">
        <v>44</v>
      </c>
      <c r="F857" s="6">
        <v>0.69791666666666663</v>
      </c>
      <c r="G857">
        <v>120</v>
      </c>
      <c r="H857" s="6">
        <f>FLOOR(tblPivotData[[#This Row],[Time]],Summary!$B$6/1440)</f>
        <v>0.69791666666666663</v>
      </c>
      <c r="I857" s="49">
        <f>INDEX(PeakCalc!$L$10:$L$303,MATCH(tblPivotData[[#This Row],[Time]],PeakCalc!$G$10:$G$303,0))</f>
        <v>1</v>
      </c>
    </row>
    <row r="858" spans="1:9" x14ac:dyDescent="0.25">
      <c r="A858" t="s">
        <v>96</v>
      </c>
      <c r="B858" t="s">
        <v>109</v>
      </c>
      <c r="C858" t="s">
        <v>95</v>
      </c>
      <c r="D858" t="s">
        <v>79</v>
      </c>
      <c r="E858" t="s">
        <v>44</v>
      </c>
      <c r="F858" s="6">
        <v>0.70833333333333337</v>
      </c>
      <c r="G858">
        <v>147</v>
      </c>
      <c r="H858" s="6">
        <f>FLOOR(tblPivotData[[#This Row],[Time]],Summary!$B$6/1440)</f>
        <v>0.70833333333333326</v>
      </c>
      <c r="I858" s="49">
        <f>INDEX(PeakCalc!$L$10:$L$303,MATCH(tblPivotData[[#This Row],[Time]],PeakCalc!$G$10:$G$303,0))</f>
        <v>1</v>
      </c>
    </row>
    <row r="859" spans="1:9" x14ac:dyDescent="0.25">
      <c r="A859" t="s">
        <v>96</v>
      </c>
      <c r="B859" t="s">
        <v>109</v>
      </c>
      <c r="C859" t="s">
        <v>95</v>
      </c>
      <c r="D859" t="s">
        <v>79</v>
      </c>
      <c r="E859" t="s">
        <v>44</v>
      </c>
      <c r="F859" s="6">
        <v>0.71875</v>
      </c>
      <c r="G859">
        <v>128</v>
      </c>
      <c r="H859" s="6">
        <f>FLOOR(tblPivotData[[#This Row],[Time]],Summary!$B$6/1440)</f>
        <v>0.71875</v>
      </c>
      <c r="I859" s="49">
        <f>INDEX(PeakCalc!$L$10:$L$303,MATCH(tblPivotData[[#This Row],[Time]],PeakCalc!$G$10:$G$303,0))</f>
        <v>0</v>
      </c>
    </row>
    <row r="860" spans="1:9" x14ac:dyDescent="0.25">
      <c r="A860" t="s">
        <v>96</v>
      </c>
      <c r="B860" t="s">
        <v>109</v>
      </c>
      <c r="C860" t="s">
        <v>95</v>
      </c>
      <c r="D860" t="s">
        <v>79</v>
      </c>
      <c r="E860" t="s">
        <v>44</v>
      </c>
      <c r="F860" s="6">
        <v>0.72916666666666663</v>
      </c>
      <c r="G860">
        <v>87</v>
      </c>
      <c r="H860" s="6">
        <f>FLOOR(tblPivotData[[#This Row],[Time]],Summary!$B$6/1440)</f>
        <v>0.72916666666666663</v>
      </c>
      <c r="I860" s="49">
        <f>INDEX(PeakCalc!$L$10:$L$303,MATCH(tblPivotData[[#This Row],[Time]],PeakCalc!$G$10:$G$303,0))</f>
        <v>0</v>
      </c>
    </row>
    <row r="861" spans="1:9" x14ac:dyDescent="0.25">
      <c r="A861" t="s">
        <v>96</v>
      </c>
      <c r="B861" t="s">
        <v>109</v>
      </c>
      <c r="C861" t="s">
        <v>95</v>
      </c>
      <c r="D861" t="s">
        <v>79</v>
      </c>
      <c r="E861" t="s">
        <v>44</v>
      </c>
      <c r="F861" s="6">
        <v>0.73958333333333337</v>
      </c>
      <c r="G861">
        <v>65</v>
      </c>
      <c r="H861" s="6">
        <f>FLOOR(tblPivotData[[#This Row],[Time]],Summary!$B$6/1440)</f>
        <v>0.73958333333333326</v>
      </c>
      <c r="I861" s="49">
        <f>INDEX(PeakCalc!$L$10:$L$303,MATCH(tblPivotData[[#This Row],[Time]],PeakCalc!$G$10:$G$303,0))</f>
        <v>0</v>
      </c>
    </row>
    <row r="862" spans="1:9" x14ac:dyDescent="0.25">
      <c r="A862" t="s">
        <v>96</v>
      </c>
      <c r="B862" t="s">
        <v>109</v>
      </c>
      <c r="C862" t="s">
        <v>95</v>
      </c>
      <c r="D862" t="s">
        <v>89</v>
      </c>
      <c r="E862" t="s">
        <v>43</v>
      </c>
      <c r="F862" s="6">
        <v>0.29166666666666669</v>
      </c>
      <c r="G862">
        <v>8</v>
      </c>
      <c r="H862" s="6">
        <f>FLOOR(tblPivotData[[#This Row],[Time]],Summary!$B$6/1440)</f>
        <v>0.29166666666666663</v>
      </c>
      <c r="I862" s="49">
        <f>INDEX(PeakCalc!$L$10:$L$303,MATCH(tblPivotData[[#This Row],[Time]],PeakCalc!$G$10:$G$303,0))</f>
        <v>0</v>
      </c>
    </row>
    <row r="863" spans="1:9" x14ac:dyDescent="0.25">
      <c r="A863" t="s">
        <v>96</v>
      </c>
      <c r="B863" t="s">
        <v>109</v>
      </c>
      <c r="C863" t="s">
        <v>95</v>
      </c>
      <c r="D863" t="s">
        <v>89</v>
      </c>
      <c r="E863" t="s">
        <v>43</v>
      </c>
      <c r="F863" s="6">
        <v>0.30208333333333331</v>
      </c>
      <c r="G863">
        <v>7</v>
      </c>
      <c r="H863" s="6">
        <f>FLOOR(tblPivotData[[#This Row],[Time]],Summary!$B$6/1440)</f>
        <v>0.30208333333333331</v>
      </c>
      <c r="I863" s="49">
        <f>INDEX(PeakCalc!$L$10:$L$303,MATCH(tblPivotData[[#This Row],[Time]],PeakCalc!$G$10:$G$303,0))</f>
        <v>0</v>
      </c>
    </row>
    <row r="864" spans="1:9" x14ac:dyDescent="0.25">
      <c r="A864" t="s">
        <v>96</v>
      </c>
      <c r="B864" t="s">
        <v>109</v>
      </c>
      <c r="C864" t="s">
        <v>95</v>
      </c>
      <c r="D864" t="s">
        <v>89</v>
      </c>
      <c r="E864" t="s">
        <v>43</v>
      </c>
      <c r="F864" s="6">
        <v>0.3125</v>
      </c>
      <c r="G864">
        <v>5</v>
      </c>
      <c r="H864" s="6">
        <f>FLOOR(tblPivotData[[#This Row],[Time]],Summary!$B$6/1440)</f>
        <v>0.3125</v>
      </c>
      <c r="I864" s="49">
        <f>INDEX(PeakCalc!$L$10:$L$303,MATCH(tblPivotData[[#This Row],[Time]],PeakCalc!$G$10:$G$303,0))</f>
        <v>0</v>
      </c>
    </row>
    <row r="865" spans="1:9" x14ac:dyDescent="0.25">
      <c r="A865" t="s">
        <v>96</v>
      </c>
      <c r="B865" t="s">
        <v>109</v>
      </c>
      <c r="C865" t="s">
        <v>95</v>
      </c>
      <c r="D865" t="s">
        <v>89</v>
      </c>
      <c r="E865" t="s">
        <v>43</v>
      </c>
      <c r="F865" s="6">
        <v>0.32291666666666669</v>
      </c>
      <c r="G865">
        <v>7</v>
      </c>
      <c r="H865" s="6">
        <f>FLOOR(tblPivotData[[#This Row],[Time]],Summary!$B$6/1440)</f>
        <v>0.32291666666666663</v>
      </c>
      <c r="I865" s="49">
        <f>INDEX(PeakCalc!$L$10:$L$303,MATCH(tblPivotData[[#This Row],[Time]],PeakCalc!$G$10:$G$303,0))</f>
        <v>1</v>
      </c>
    </row>
    <row r="866" spans="1:9" x14ac:dyDescent="0.25">
      <c r="A866" t="s">
        <v>96</v>
      </c>
      <c r="B866" t="s">
        <v>109</v>
      </c>
      <c r="C866" t="s">
        <v>95</v>
      </c>
      <c r="D866" t="s">
        <v>89</v>
      </c>
      <c r="E866" t="s">
        <v>43</v>
      </c>
      <c r="F866" s="6">
        <v>0.33333333333333331</v>
      </c>
      <c r="G866">
        <v>8</v>
      </c>
      <c r="H866" s="6">
        <f>FLOOR(tblPivotData[[#This Row],[Time]],Summary!$B$6/1440)</f>
        <v>0.33333333333333331</v>
      </c>
      <c r="I866" s="49">
        <f>INDEX(PeakCalc!$L$10:$L$303,MATCH(tblPivotData[[#This Row],[Time]],PeakCalc!$G$10:$G$303,0))</f>
        <v>1</v>
      </c>
    </row>
    <row r="867" spans="1:9" x14ac:dyDescent="0.25">
      <c r="A867" t="s">
        <v>96</v>
      </c>
      <c r="B867" t="s">
        <v>109</v>
      </c>
      <c r="C867" t="s">
        <v>95</v>
      </c>
      <c r="D867" t="s">
        <v>89</v>
      </c>
      <c r="E867" t="s">
        <v>43</v>
      </c>
      <c r="F867" s="6">
        <v>0.34375</v>
      </c>
      <c r="G867">
        <v>7</v>
      </c>
      <c r="H867" s="6">
        <f>FLOOR(tblPivotData[[#This Row],[Time]],Summary!$B$6/1440)</f>
        <v>0.34375</v>
      </c>
      <c r="I867" s="49">
        <f>INDEX(PeakCalc!$L$10:$L$303,MATCH(tblPivotData[[#This Row],[Time]],PeakCalc!$G$10:$G$303,0))</f>
        <v>1</v>
      </c>
    </row>
    <row r="868" spans="1:9" x14ac:dyDescent="0.25">
      <c r="A868" t="s">
        <v>96</v>
      </c>
      <c r="B868" t="s">
        <v>109</v>
      </c>
      <c r="C868" t="s">
        <v>95</v>
      </c>
      <c r="D868" t="s">
        <v>89</v>
      </c>
      <c r="E868" t="s">
        <v>43</v>
      </c>
      <c r="F868" s="6">
        <v>0.35416666666666669</v>
      </c>
      <c r="G868">
        <v>9</v>
      </c>
      <c r="H868" s="6">
        <f>FLOOR(tblPivotData[[#This Row],[Time]],Summary!$B$6/1440)</f>
        <v>0.35416666666666663</v>
      </c>
      <c r="I868" s="49">
        <f>INDEX(PeakCalc!$L$10:$L$303,MATCH(tblPivotData[[#This Row],[Time]],PeakCalc!$G$10:$G$303,0))</f>
        <v>1</v>
      </c>
    </row>
    <row r="869" spans="1:9" x14ac:dyDescent="0.25">
      <c r="A869" t="s">
        <v>96</v>
      </c>
      <c r="B869" t="s">
        <v>109</v>
      </c>
      <c r="C869" t="s">
        <v>95</v>
      </c>
      <c r="D869" t="s">
        <v>89</v>
      </c>
      <c r="E869" t="s">
        <v>43</v>
      </c>
      <c r="F869" s="6">
        <v>0.36458333333333331</v>
      </c>
      <c r="G869">
        <v>12</v>
      </c>
      <c r="H869" s="6">
        <f>FLOOR(tblPivotData[[#This Row],[Time]],Summary!$B$6/1440)</f>
        <v>0.36458333333333331</v>
      </c>
      <c r="I869" s="49">
        <f>INDEX(PeakCalc!$L$10:$L$303,MATCH(tblPivotData[[#This Row],[Time]],PeakCalc!$G$10:$G$303,0))</f>
        <v>0</v>
      </c>
    </row>
    <row r="870" spans="1:9" x14ac:dyDescent="0.25">
      <c r="A870" t="s">
        <v>96</v>
      </c>
      <c r="B870" t="s">
        <v>109</v>
      </c>
      <c r="C870" t="s">
        <v>95</v>
      </c>
      <c r="D870" t="s">
        <v>89</v>
      </c>
      <c r="E870" t="s">
        <v>90</v>
      </c>
      <c r="F870" s="6">
        <v>0.54166666666666663</v>
      </c>
      <c r="G870">
        <v>4</v>
      </c>
      <c r="H870" s="6">
        <f>FLOOR(tblPivotData[[#This Row],[Time]],Summary!$B$6/1440)</f>
        <v>0.54166666666666663</v>
      </c>
      <c r="I870" s="49">
        <f>INDEX(PeakCalc!$L$10:$L$303,MATCH(tblPivotData[[#This Row],[Time]],PeakCalc!$G$10:$G$303,0))</f>
        <v>1</v>
      </c>
    </row>
    <row r="871" spans="1:9" x14ac:dyDescent="0.25">
      <c r="A871" t="s">
        <v>96</v>
      </c>
      <c r="B871" t="s">
        <v>109</v>
      </c>
      <c r="C871" t="s">
        <v>95</v>
      </c>
      <c r="D871" t="s">
        <v>89</v>
      </c>
      <c r="E871" t="s">
        <v>90</v>
      </c>
      <c r="F871" s="6">
        <v>0.55208333333333337</v>
      </c>
      <c r="G871">
        <v>7</v>
      </c>
      <c r="H871" s="6">
        <f>FLOOR(tblPivotData[[#This Row],[Time]],Summary!$B$6/1440)</f>
        <v>0.55208333333333326</v>
      </c>
      <c r="I871" s="49">
        <f>INDEX(PeakCalc!$L$10:$L$303,MATCH(tblPivotData[[#This Row],[Time]],PeakCalc!$G$10:$G$303,0))</f>
        <v>1</v>
      </c>
    </row>
    <row r="872" spans="1:9" x14ac:dyDescent="0.25">
      <c r="A872" t="s">
        <v>96</v>
      </c>
      <c r="B872" t="s">
        <v>109</v>
      </c>
      <c r="C872" t="s">
        <v>95</v>
      </c>
      <c r="D872" t="s">
        <v>89</v>
      </c>
      <c r="E872" t="s">
        <v>90</v>
      </c>
      <c r="F872" s="6">
        <v>0.5625</v>
      </c>
      <c r="G872">
        <v>10</v>
      </c>
      <c r="H872" s="6">
        <f>FLOOR(tblPivotData[[#This Row],[Time]],Summary!$B$6/1440)</f>
        <v>0.5625</v>
      </c>
      <c r="I872" s="49">
        <f>INDEX(PeakCalc!$L$10:$L$303,MATCH(tblPivotData[[#This Row],[Time]],PeakCalc!$G$10:$G$303,0))</f>
        <v>1</v>
      </c>
    </row>
    <row r="873" spans="1:9" x14ac:dyDescent="0.25">
      <c r="A873" t="s">
        <v>96</v>
      </c>
      <c r="B873" t="s">
        <v>109</v>
      </c>
      <c r="C873" t="s">
        <v>95</v>
      </c>
      <c r="D873" t="s">
        <v>89</v>
      </c>
      <c r="E873" t="s">
        <v>90</v>
      </c>
      <c r="F873" s="6">
        <v>0.57291666666666663</v>
      </c>
      <c r="G873">
        <v>8</v>
      </c>
      <c r="H873" s="6">
        <f>FLOOR(tblPivotData[[#This Row],[Time]],Summary!$B$6/1440)</f>
        <v>0.57291666666666663</v>
      </c>
      <c r="I873" s="49">
        <f>INDEX(PeakCalc!$L$10:$L$303,MATCH(tblPivotData[[#This Row],[Time]],PeakCalc!$G$10:$G$303,0))</f>
        <v>1</v>
      </c>
    </row>
    <row r="874" spans="1:9" x14ac:dyDescent="0.25">
      <c r="A874" t="s">
        <v>96</v>
      </c>
      <c r="B874" t="s">
        <v>109</v>
      </c>
      <c r="C874" t="s">
        <v>95</v>
      </c>
      <c r="D874" t="s">
        <v>89</v>
      </c>
      <c r="E874" t="s">
        <v>44</v>
      </c>
      <c r="F874" s="6">
        <v>0.66666666666666663</v>
      </c>
      <c r="G874">
        <v>6</v>
      </c>
      <c r="H874" s="6">
        <f>FLOOR(tblPivotData[[#This Row],[Time]],Summary!$B$6/1440)</f>
        <v>0.66666666666666663</v>
      </c>
      <c r="I874" s="49">
        <f>INDEX(PeakCalc!$L$10:$L$303,MATCH(tblPivotData[[#This Row],[Time]],PeakCalc!$G$10:$G$303,0))</f>
        <v>0</v>
      </c>
    </row>
    <row r="875" spans="1:9" x14ac:dyDescent="0.25">
      <c r="A875" t="s">
        <v>96</v>
      </c>
      <c r="B875" t="s">
        <v>109</v>
      </c>
      <c r="C875" t="s">
        <v>95</v>
      </c>
      <c r="D875" t="s">
        <v>89</v>
      </c>
      <c r="E875" t="s">
        <v>44</v>
      </c>
      <c r="F875" s="6">
        <v>0.67708333333333337</v>
      </c>
      <c r="G875">
        <v>4</v>
      </c>
      <c r="H875" s="6">
        <f>FLOOR(tblPivotData[[#This Row],[Time]],Summary!$B$6/1440)</f>
        <v>0.67708333333333326</v>
      </c>
      <c r="I875" s="49">
        <f>INDEX(PeakCalc!$L$10:$L$303,MATCH(tblPivotData[[#This Row],[Time]],PeakCalc!$G$10:$G$303,0))</f>
        <v>1</v>
      </c>
    </row>
    <row r="876" spans="1:9" x14ac:dyDescent="0.25">
      <c r="A876" t="s">
        <v>96</v>
      </c>
      <c r="B876" t="s">
        <v>109</v>
      </c>
      <c r="C876" t="s">
        <v>95</v>
      </c>
      <c r="D876" t="s">
        <v>89</v>
      </c>
      <c r="E876" t="s">
        <v>44</v>
      </c>
      <c r="F876" s="6">
        <v>0.6875</v>
      </c>
      <c r="G876">
        <v>6</v>
      </c>
      <c r="H876" s="6">
        <f>FLOOR(tblPivotData[[#This Row],[Time]],Summary!$B$6/1440)</f>
        <v>0.6875</v>
      </c>
      <c r="I876" s="49">
        <f>INDEX(PeakCalc!$L$10:$L$303,MATCH(tblPivotData[[#This Row],[Time]],PeakCalc!$G$10:$G$303,0))</f>
        <v>1</v>
      </c>
    </row>
    <row r="877" spans="1:9" x14ac:dyDescent="0.25">
      <c r="A877" t="s">
        <v>96</v>
      </c>
      <c r="B877" t="s">
        <v>109</v>
      </c>
      <c r="C877" t="s">
        <v>95</v>
      </c>
      <c r="D877" t="s">
        <v>89</v>
      </c>
      <c r="E877" t="s">
        <v>44</v>
      </c>
      <c r="F877" s="6">
        <v>0.69791666666666663</v>
      </c>
      <c r="G877">
        <v>3</v>
      </c>
      <c r="H877" s="6">
        <f>FLOOR(tblPivotData[[#This Row],[Time]],Summary!$B$6/1440)</f>
        <v>0.69791666666666663</v>
      </c>
      <c r="I877" s="49">
        <f>INDEX(PeakCalc!$L$10:$L$303,MATCH(tblPivotData[[#This Row],[Time]],PeakCalc!$G$10:$G$303,0))</f>
        <v>1</v>
      </c>
    </row>
    <row r="878" spans="1:9" x14ac:dyDescent="0.25">
      <c r="A878" t="s">
        <v>96</v>
      </c>
      <c r="B878" t="s">
        <v>109</v>
      </c>
      <c r="C878" t="s">
        <v>95</v>
      </c>
      <c r="D878" t="s">
        <v>89</v>
      </c>
      <c r="E878" t="s">
        <v>44</v>
      </c>
      <c r="F878" s="6">
        <v>0.70833333333333337</v>
      </c>
      <c r="G878">
        <v>5</v>
      </c>
      <c r="H878" s="6">
        <f>FLOOR(tblPivotData[[#This Row],[Time]],Summary!$B$6/1440)</f>
        <v>0.70833333333333326</v>
      </c>
      <c r="I878" s="49">
        <f>INDEX(PeakCalc!$L$10:$L$303,MATCH(tblPivotData[[#This Row],[Time]],PeakCalc!$G$10:$G$303,0))</f>
        <v>1</v>
      </c>
    </row>
    <row r="879" spans="1:9" x14ac:dyDescent="0.25">
      <c r="A879" t="s">
        <v>96</v>
      </c>
      <c r="B879" t="s">
        <v>109</v>
      </c>
      <c r="C879" t="s">
        <v>95</v>
      </c>
      <c r="D879" t="s">
        <v>89</v>
      </c>
      <c r="E879" t="s">
        <v>44</v>
      </c>
      <c r="F879" s="6">
        <v>0.71875</v>
      </c>
      <c r="G879">
        <v>2</v>
      </c>
      <c r="H879" s="6">
        <f>FLOOR(tblPivotData[[#This Row],[Time]],Summary!$B$6/1440)</f>
        <v>0.71875</v>
      </c>
      <c r="I879" s="49">
        <f>INDEX(PeakCalc!$L$10:$L$303,MATCH(tblPivotData[[#This Row],[Time]],PeakCalc!$G$10:$G$303,0))</f>
        <v>0</v>
      </c>
    </row>
    <row r="880" spans="1:9" x14ac:dyDescent="0.25">
      <c r="A880" t="s">
        <v>96</v>
      </c>
      <c r="B880" t="s">
        <v>109</v>
      </c>
      <c r="C880" t="s">
        <v>95</v>
      </c>
      <c r="D880" t="s">
        <v>89</v>
      </c>
      <c r="E880" t="s">
        <v>44</v>
      </c>
      <c r="F880" s="6">
        <v>0.72916666666666663</v>
      </c>
      <c r="G880">
        <v>1</v>
      </c>
      <c r="H880" s="6">
        <f>FLOOR(tblPivotData[[#This Row],[Time]],Summary!$B$6/1440)</f>
        <v>0.72916666666666663</v>
      </c>
      <c r="I880" s="49">
        <f>INDEX(PeakCalc!$L$10:$L$303,MATCH(tblPivotData[[#This Row],[Time]],PeakCalc!$G$10:$G$303,0))</f>
        <v>0</v>
      </c>
    </row>
    <row r="881" spans="1:9" x14ac:dyDescent="0.25">
      <c r="A881" t="s">
        <v>96</v>
      </c>
      <c r="B881" t="s">
        <v>109</v>
      </c>
      <c r="C881" t="s">
        <v>95</v>
      </c>
      <c r="D881" t="s">
        <v>89</v>
      </c>
      <c r="E881" t="s">
        <v>44</v>
      </c>
      <c r="F881" s="6">
        <v>0.73958333333333337</v>
      </c>
      <c r="G881">
        <v>4</v>
      </c>
      <c r="H881" s="6">
        <f>FLOOR(tblPivotData[[#This Row],[Time]],Summary!$B$6/1440)</f>
        <v>0.73958333333333326</v>
      </c>
      <c r="I881" s="49">
        <f>INDEX(PeakCalc!$L$10:$L$303,MATCH(tblPivotData[[#This Row],[Time]],PeakCalc!$G$10:$G$303,0))</f>
        <v>0</v>
      </c>
    </row>
    <row r="882" spans="1:9" x14ac:dyDescent="0.25">
      <c r="A882" t="s">
        <v>96</v>
      </c>
      <c r="B882" t="s">
        <v>109</v>
      </c>
      <c r="C882" t="s">
        <v>95</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109</v>
      </c>
      <c r="C883" t="s">
        <v>95</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109</v>
      </c>
      <c r="C884" t="s">
        <v>95</v>
      </c>
      <c r="D884" t="s">
        <v>91</v>
      </c>
      <c r="E884" t="s">
        <v>43</v>
      </c>
      <c r="F884" s="6">
        <v>0.3125</v>
      </c>
      <c r="G884">
        <v>0</v>
      </c>
      <c r="H884" s="6">
        <f>FLOOR(tblPivotData[[#This Row],[Time]],Summary!$B$6/1440)</f>
        <v>0.3125</v>
      </c>
      <c r="I884" s="49">
        <f>INDEX(PeakCalc!$L$10:$L$303,MATCH(tblPivotData[[#This Row],[Time]],PeakCalc!$G$10:$G$303,0))</f>
        <v>0</v>
      </c>
    </row>
    <row r="885" spans="1:9" x14ac:dyDescent="0.25">
      <c r="A885" t="s">
        <v>96</v>
      </c>
      <c r="B885" t="s">
        <v>109</v>
      </c>
      <c r="C885" t="s">
        <v>95</v>
      </c>
      <c r="D885" t="s">
        <v>91</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96</v>
      </c>
      <c r="B886" t="s">
        <v>109</v>
      </c>
      <c r="C886" t="s">
        <v>95</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109</v>
      </c>
      <c r="C887" t="s">
        <v>95</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109</v>
      </c>
      <c r="C888" t="s">
        <v>95</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96</v>
      </c>
      <c r="B889" t="s">
        <v>109</v>
      </c>
      <c r="C889" t="s">
        <v>95</v>
      </c>
      <c r="D889" t="s">
        <v>91</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96</v>
      </c>
      <c r="B890" t="s">
        <v>109</v>
      </c>
      <c r="C890" t="s">
        <v>95</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109</v>
      </c>
      <c r="C891" t="s">
        <v>95</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109</v>
      </c>
      <c r="C892" t="s">
        <v>95</v>
      </c>
      <c r="D892" t="s">
        <v>91</v>
      </c>
      <c r="E892" t="s">
        <v>90</v>
      </c>
      <c r="F892" s="6">
        <v>0.5625</v>
      </c>
      <c r="G892">
        <v>0</v>
      </c>
      <c r="H892" s="6">
        <f>FLOOR(tblPivotData[[#This Row],[Time]],Summary!$B$6/1440)</f>
        <v>0.5625</v>
      </c>
      <c r="I892" s="49">
        <f>INDEX(PeakCalc!$L$10:$L$303,MATCH(tblPivotData[[#This Row],[Time]],PeakCalc!$G$10:$G$303,0))</f>
        <v>1</v>
      </c>
    </row>
    <row r="893" spans="1:9" x14ac:dyDescent="0.25">
      <c r="A893" t="s">
        <v>96</v>
      </c>
      <c r="B893" t="s">
        <v>109</v>
      </c>
      <c r="C893" t="s">
        <v>95</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109</v>
      </c>
      <c r="C894" t="s">
        <v>95</v>
      </c>
      <c r="D894" t="s">
        <v>91</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96</v>
      </c>
      <c r="B895" t="s">
        <v>109</v>
      </c>
      <c r="C895" t="s">
        <v>95</v>
      </c>
      <c r="D895" t="s">
        <v>91</v>
      </c>
      <c r="E895" t="s">
        <v>44</v>
      </c>
      <c r="F895" s="6">
        <v>0.67708333333333337</v>
      </c>
      <c r="G895">
        <v>0</v>
      </c>
      <c r="H895" s="6">
        <f>FLOOR(tblPivotData[[#This Row],[Time]],Summary!$B$6/1440)</f>
        <v>0.67708333333333326</v>
      </c>
      <c r="I895" s="49">
        <f>INDEX(PeakCalc!$L$10:$L$303,MATCH(tblPivotData[[#This Row],[Time]],PeakCalc!$G$10:$G$303,0))</f>
        <v>1</v>
      </c>
    </row>
    <row r="896" spans="1:9" x14ac:dyDescent="0.25">
      <c r="A896" t="s">
        <v>96</v>
      </c>
      <c r="B896" t="s">
        <v>109</v>
      </c>
      <c r="C896" t="s">
        <v>95</v>
      </c>
      <c r="D896" t="s">
        <v>91</v>
      </c>
      <c r="E896" t="s">
        <v>44</v>
      </c>
      <c r="F896" s="6">
        <v>0.6875</v>
      </c>
      <c r="G896">
        <v>0</v>
      </c>
      <c r="H896" s="6">
        <f>FLOOR(tblPivotData[[#This Row],[Time]],Summary!$B$6/1440)</f>
        <v>0.6875</v>
      </c>
      <c r="I896" s="49">
        <f>INDEX(PeakCalc!$L$10:$L$303,MATCH(tblPivotData[[#This Row],[Time]],PeakCalc!$G$10:$G$303,0))</f>
        <v>1</v>
      </c>
    </row>
    <row r="897" spans="1:9" x14ac:dyDescent="0.25">
      <c r="A897" t="s">
        <v>96</v>
      </c>
      <c r="B897" t="s">
        <v>109</v>
      </c>
      <c r="C897" t="s">
        <v>95</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109</v>
      </c>
      <c r="C898" t="s">
        <v>95</v>
      </c>
      <c r="D898" t="s">
        <v>91</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96</v>
      </c>
      <c r="B899" t="s">
        <v>109</v>
      </c>
      <c r="C899" t="s">
        <v>95</v>
      </c>
      <c r="D899" t="s">
        <v>91</v>
      </c>
      <c r="E899" t="s">
        <v>44</v>
      </c>
      <c r="F899" s="6">
        <v>0.71875</v>
      </c>
      <c r="G899">
        <v>0</v>
      </c>
      <c r="H899" s="6">
        <f>FLOOR(tblPivotData[[#This Row],[Time]],Summary!$B$6/1440)</f>
        <v>0.71875</v>
      </c>
      <c r="I899" s="49">
        <f>INDEX(PeakCalc!$L$10:$L$303,MATCH(tblPivotData[[#This Row],[Time]],PeakCalc!$G$10:$G$303,0))</f>
        <v>0</v>
      </c>
    </row>
    <row r="900" spans="1:9" x14ac:dyDescent="0.25">
      <c r="A900" t="s">
        <v>96</v>
      </c>
      <c r="B900" t="s">
        <v>109</v>
      </c>
      <c r="C900" t="s">
        <v>95</v>
      </c>
      <c r="D900" t="s">
        <v>91</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96</v>
      </c>
      <c r="B901" t="s">
        <v>109</v>
      </c>
      <c r="C901" t="s">
        <v>95</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100</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100</v>
      </c>
      <c r="C903" t="s">
        <v>96</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96</v>
      </c>
      <c r="B904" t="s">
        <v>100</v>
      </c>
      <c r="C904" t="s">
        <v>96</v>
      </c>
      <c r="D904" t="s">
        <v>79</v>
      </c>
      <c r="E904" t="s">
        <v>43</v>
      </c>
      <c r="F904" s="6">
        <v>0.3125</v>
      </c>
      <c r="G904">
        <v>0</v>
      </c>
      <c r="H904" s="6">
        <f>FLOOR(tblPivotData[[#This Row],[Time]],Summary!$B$6/1440)</f>
        <v>0.3125</v>
      </c>
      <c r="I904" s="49">
        <f>INDEX(PeakCalc!$L$10:$L$303,MATCH(tblPivotData[[#This Row],[Time]],PeakCalc!$G$10:$G$303,0))</f>
        <v>0</v>
      </c>
    </row>
    <row r="905" spans="1:9" x14ac:dyDescent="0.25">
      <c r="A905" t="s">
        <v>96</v>
      </c>
      <c r="B905" t="s">
        <v>100</v>
      </c>
      <c r="C905" t="s">
        <v>96</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96</v>
      </c>
      <c r="B906" t="s">
        <v>100</v>
      </c>
      <c r="C906" t="s">
        <v>96</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96</v>
      </c>
      <c r="B907" t="s">
        <v>100</v>
      </c>
      <c r="C907" t="s">
        <v>96</v>
      </c>
      <c r="D907" t="s">
        <v>79</v>
      </c>
      <c r="E907" t="s">
        <v>43</v>
      </c>
      <c r="F907" s="6">
        <v>0.34375</v>
      </c>
      <c r="G907">
        <v>1</v>
      </c>
      <c r="H907" s="6">
        <f>FLOOR(tblPivotData[[#This Row],[Time]],Summary!$B$6/1440)</f>
        <v>0.34375</v>
      </c>
      <c r="I907" s="49">
        <f>INDEX(PeakCalc!$L$10:$L$303,MATCH(tblPivotData[[#This Row],[Time]],PeakCalc!$G$10:$G$303,0))</f>
        <v>1</v>
      </c>
    </row>
    <row r="908" spans="1:9" x14ac:dyDescent="0.25">
      <c r="A908" t="s">
        <v>96</v>
      </c>
      <c r="B908" t="s">
        <v>100</v>
      </c>
      <c r="C908" t="s">
        <v>96</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96</v>
      </c>
      <c r="B909" t="s">
        <v>100</v>
      </c>
      <c r="C909" t="s">
        <v>96</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96</v>
      </c>
      <c r="B910" t="s">
        <v>100</v>
      </c>
      <c r="C910" t="s">
        <v>96</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100</v>
      </c>
      <c r="C911" t="s">
        <v>96</v>
      </c>
      <c r="D911" t="s">
        <v>79</v>
      </c>
      <c r="E911" t="s">
        <v>90</v>
      </c>
      <c r="F911" s="6">
        <v>0.55208333333333337</v>
      </c>
      <c r="G911">
        <v>1</v>
      </c>
      <c r="H911" s="6">
        <f>FLOOR(tblPivotData[[#This Row],[Time]],Summary!$B$6/1440)</f>
        <v>0.55208333333333326</v>
      </c>
      <c r="I911" s="49">
        <f>INDEX(PeakCalc!$L$10:$L$303,MATCH(tblPivotData[[#This Row],[Time]],PeakCalc!$G$10:$G$303,0))</f>
        <v>1</v>
      </c>
    </row>
    <row r="912" spans="1:9" x14ac:dyDescent="0.25">
      <c r="A912" t="s">
        <v>96</v>
      </c>
      <c r="B912" t="s">
        <v>100</v>
      </c>
      <c r="C912" t="s">
        <v>96</v>
      </c>
      <c r="D912" t="s">
        <v>79</v>
      </c>
      <c r="E912" t="s">
        <v>90</v>
      </c>
      <c r="F912" s="6">
        <v>0.5625</v>
      </c>
      <c r="G912">
        <v>0</v>
      </c>
      <c r="H912" s="6">
        <f>FLOOR(tblPivotData[[#This Row],[Time]],Summary!$B$6/1440)</f>
        <v>0.5625</v>
      </c>
      <c r="I912" s="49">
        <f>INDEX(PeakCalc!$L$10:$L$303,MATCH(tblPivotData[[#This Row],[Time]],PeakCalc!$G$10:$G$303,0))</f>
        <v>1</v>
      </c>
    </row>
    <row r="913" spans="1:9" x14ac:dyDescent="0.25">
      <c r="A913" t="s">
        <v>96</v>
      </c>
      <c r="B913" t="s">
        <v>100</v>
      </c>
      <c r="C913" t="s">
        <v>96</v>
      </c>
      <c r="D913" t="s">
        <v>79</v>
      </c>
      <c r="E913" t="s">
        <v>90</v>
      </c>
      <c r="F913" s="6">
        <v>0.57291666666666663</v>
      </c>
      <c r="G913">
        <v>1</v>
      </c>
      <c r="H913" s="6">
        <f>FLOOR(tblPivotData[[#This Row],[Time]],Summary!$B$6/1440)</f>
        <v>0.57291666666666663</v>
      </c>
      <c r="I913" s="49">
        <f>INDEX(PeakCalc!$L$10:$L$303,MATCH(tblPivotData[[#This Row],[Time]],PeakCalc!$G$10:$G$303,0))</f>
        <v>1</v>
      </c>
    </row>
    <row r="914" spans="1:9" x14ac:dyDescent="0.25">
      <c r="A914" t="s">
        <v>96</v>
      </c>
      <c r="B914" t="s">
        <v>100</v>
      </c>
      <c r="C914" t="s">
        <v>96</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96</v>
      </c>
      <c r="B915" t="s">
        <v>100</v>
      </c>
      <c r="C915" t="s">
        <v>96</v>
      </c>
      <c r="D915" t="s">
        <v>79</v>
      </c>
      <c r="E915" t="s">
        <v>44</v>
      </c>
      <c r="F915" s="6">
        <v>0.67708333333333337</v>
      </c>
      <c r="G915">
        <v>0</v>
      </c>
      <c r="H915" s="6">
        <f>FLOOR(tblPivotData[[#This Row],[Time]],Summary!$B$6/1440)</f>
        <v>0.67708333333333326</v>
      </c>
      <c r="I915" s="49">
        <f>INDEX(PeakCalc!$L$10:$L$303,MATCH(tblPivotData[[#This Row],[Time]],PeakCalc!$G$10:$G$303,0))</f>
        <v>1</v>
      </c>
    </row>
    <row r="916" spans="1:9" x14ac:dyDescent="0.25">
      <c r="A916" t="s">
        <v>96</v>
      </c>
      <c r="B916" t="s">
        <v>100</v>
      </c>
      <c r="C916" t="s">
        <v>96</v>
      </c>
      <c r="D916" t="s">
        <v>79</v>
      </c>
      <c r="E916" t="s">
        <v>44</v>
      </c>
      <c r="F916" s="6">
        <v>0.6875</v>
      </c>
      <c r="G916">
        <v>0</v>
      </c>
      <c r="H916" s="6">
        <f>FLOOR(tblPivotData[[#This Row],[Time]],Summary!$B$6/1440)</f>
        <v>0.6875</v>
      </c>
      <c r="I916" s="49">
        <f>INDEX(PeakCalc!$L$10:$L$303,MATCH(tblPivotData[[#This Row],[Time]],PeakCalc!$G$10:$G$303,0))</f>
        <v>1</v>
      </c>
    </row>
    <row r="917" spans="1:9" x14ac:dyDescent="0.25">
      <c r="A917" t="s">
        <v>96</v>
      </c>
      <c r="B917" t="s">
        <v>100</v>
      </c>
      <c r="C917" t="s">
        <v>96</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96</v>
      </c>
      <c r="B918" t="s">
        <v>100</v>
      </c>
      <c r="C918" t="s">
        <v>96</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96</v>
      </c>
      <c r="B919" t="s">
        <v>100</v>
      </c>
      <c r="C919" t="s">
        <v>96</v>
      </c>
      <c r="D919" t="s">
        <v>79</v>
      </c>
      <c r="E919" t="s">
        <v>44</v>
      </c>
      <c r="F919" s="6">
        <v>0.71875</v>
      </c>
      <c r="G919">
        <v>0</v>
      </c>
      <c r="H919" s="6">
        <f>FLOOR(tblPivotData[[#This Row],[Time]],Summary!$B$6/1440)</f>
        <v>0.71875</v>
      </c>
      <c r="I919" s="49">
        <f>INDEX(PeakCalc!$L$10:$L$303,MATCH(tblPivotData[[#This Row],[Time]],PeakCalc!$G$10:$G$303,0))</f>
        <v>0</v>
      </c>
    </row>
    <row r="920" spans="1:9" x14ac:dyDescent="0.25">
      <c r="A920" t="s">
        <v>96</v>
      </c>
      <c r="B920" t="s">
        <v>100</v>
      </c>
      <c r="C920" t="s">
        <v>96</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96</v>
      </c>
      <c r="B921" t="s">
        <v>100</v>
      </c>
      <c r="C921" t="s">
        <v>96</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96</v>
      </c>
      <c r="B922" t="s">
        <v>100</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100</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100</v>
      </c>
      <c r="C924" t="s">
        <v>96</v>
      </c>
      <c r="D924" t="s">
        <v>89</v>
      </c>
      <c r="E924" t="s">
        <v>43</v>
      </c>
      <c r="F924" s="6">
        <v>0.3125</v>
      </c>
      <c r="G924">
        <v>0</v>
      </c>
      <c r="H924" s="6">
        <f>FLOOR(tblPivotData[[#This Row],[Time]],Summary!$B$6/1440)</f>
        <v>0.3125</v>
      </c>
      <c r="I924" s="49">
        <f>INDEX(PeakCalc!$L$10:$L$303,MATCH(tblPivotData[[#This Row],[Time]],PeakCalc!$G$10:$G$303,0))</f>
        <v>0</v>
      </c>
    </row>
    <row r="925" spans="1:9" x14ac:dyDescent="0.25">
      <c r="A925" t="s">
        <v>96</v>
      </c>
      <c r="B925" t="s">
        <v>100</v>
      </c>
      <c r="C925" t="s">
        <v>96</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96</v>
      </c>
      <c r="B926" t="s">
        <v>100</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100</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100</v>
      </c>
      <c r="C928" t="s">
        <v>96</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96</v>
      </c>
      <c r="B929" t="s">
        <v>100</v>
      </c>
      <c r="C929" t="s">
        <v>96</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96</v>
      </c>
      <c r="B930" t="s">
        <v>100</v>
      </c>
      <c r="C930" t="s">
        <v>96</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100</v>
      </c>
      <c r="C931" t="s">
        <v>96</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100</v>
      </c>
      <c r="C932" t="s">
        <v>96</v>
      </c>
      <c r="D932" t="s">
        <v>89</v>
      </c>
      <c r="E932" t="s">
        <v>90</v>
      </c>
      <c r="F932" s="6">
        <v>0.5625</v>
      </c>
      <c r="G932">
        <v>0</v>
      </c>
      <c r="H932" s="6">
        <f>FLOOR(tblPivotData[[#This Row],[Time]],Summary!$B$6/1440)</f>
        <v>0.5625</v>
      </c>
      <c r="I932" s="49">
        <f>INDEX(PeakCalc!$L$10:$L$303,MATCH(tblPivotData[[#This Row],[Time]],PeakCalc!$G$10:$G$303,0))</f>
        <v>1</v>
      </c>
    </row>
    <row r="933" spans="1:9" x14ac:dyDescent="0.25">
      <c r="A933" t="s">
        <v>96</v>
      </c>
      <c r="B933" t="s">
        <v>100</v>
      </c>
      <c r="C933" t="s">
        <v>96</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100</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100</v>
      </c>
      <c r="C935" t="s">
        <v>96</v>
      </c>
      <c r="D935" t="s">
        <v>89</v>
      </c>
      <c r="E935" t="s">
        <v>44</v>
      </c>
      <c r="F935" s="6">
        <v>0.67708333333333337</v>
      </c>
      <c r="G935">
        <v>0</v>
      </c>
      <c r="H935" s="6">
        <f>FLOOR(tblPivotData[[#This Row],[Time]],Summary!$B$6/1440)</f>
        <v>0.67708333333333326</v>
      </c>
      <c r="I935" s="49">
        <f>INDEX(PeakCalc!$L$10:$L$303,MATCH(tblPivotData[[#This Row],[Time]],PeakCalc!$G$10:$G$303,0))</f>
        <v>1</v>
      </c>
    </row>
    <row r="936" spans="1:9" x14ac:dyDescent="0.25">
      <c r="A936" t="s">
        <v>96</v>
      </c>
      <c r="B936" t="s">
        <v>100</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100</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100</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100</v>
      </c>
      <c r="C939" t="s">
        <v>96</v>
      </c>
      <c r="D939" t="s">
        <v>89</v>
      </c>
      <c r="E939" t="s">
        <v>44</v>
      </c>
      <c r="F939" s="6">
        <v>0.71875</v>
      </c>
      <c r="G939">
        <v>0</v>
      </c>
      <c r="H939" s="6">
        <f>FLOOR(tblPivotData[[#This Row],[Time]],Summary!$B$6/1440)</f>
        <v>0.71875</v>
      </c>
      <c r="I939" s="49">
        <f>INDEX(PeakCalc!$L$10:$L$303,MATCH(tblPivotData[[#This Row],[Time]],PeakCalc!$G$10:$G$303,0))</f>
        <v>0</v>
      </c>
    </row>
    <row r="940" spans="1:9" x14ac:dyDescent="0.25">
      <c r="A940" t="s">
        <v>96</v>
      </c>
      <c r="B940" t="s">
        <v>100</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100</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100</v>
      </c>
      <c r="C942" t="s">
        <v>96</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100</v>
      </c>
      <c r="C943" t="s">
        <v>96</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100</v>
      </c>
      <c r="C944" t="s">
        <v>96</v>
      </c>
      <c r="D944" t="s">
        <v>91</v>
      </c>
      <c r="E944" t="s">
        <v>43</v>
      </c>
      <c r="F944" s="6">
        <v>0.3125</v>
      </c>
      <c r="G944">
        <v>0</v>
      </c>
      <c r="H944" s="6">
        <f>FLOOR(tblPivotData[[#This Row],[Time]],Summary!$B$6/1440)</f>
        <v>0.3125</v>
      </c>
      <c r="I944" s="49">
        <f>INDEX(PeakCalc!$L$10:$L$303,MATCH(tblPivotData[[#This Row],[Time]],PeakCalc!$G$10:$G$303,0))</f>
        <v>0</v>
      </c>
    </row>
    <row r="945" spans="1:9" x14ac:dyDescent="0.25">
      <c r="A945" t="s">
        <v>96</v>
      </c>
      <c r="B945" t="s">
        <v>100</v>
      </c>
      <c r="C945" t="s">
        <v>96</v>
      </c>
      <c r="D945" t="s">
        <v>91</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96</v>
      </c>
      <c r="B946" t="s">
        <v>100</v>
      </c>
      <c r="C946" t="s">
        <v>96</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100</v>
      </c>
      <c r="C947" t="s">
        <v>96</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100</v>
      </c>
      <c r="C948" t="s">
        <v>96</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96</v>
      </c>
      <c r="B949" t="s">
        <v>100</v>
      </c>
      <c r="C949" t="s">
        <v>96</v>
      </c>
      <c r="D949" t="s">
        <v>91</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96</v>
      </c>
      <c r="B950" t="s">
        <v>100</v>
      </c>
      <c r="C950" t="s">
        <v>96</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100</v>
      </c>
      <c r="C951" t="s">
        <v>96</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100</v>
      </c>
      <c r="C952" t="s">
        <v>96</v>
      </c>
      <c r="D952" t="s">
        <v>91</v>
      </c>
      <c r="E952" t="s">
        <v>90</v>
      </c>
      <c r="F952" s="6">
        <v>0.5625</v>
      </c>
      <c r="G952">
        <v>0</v>
      </c>
      <c r="H952" s="6">
        <f>FLOOR(tblPivotData[[#This Row],[Time]],Summary!$B$6/1440)</f>
        <v>0.5625</v>
      </c>
      <c r="I952" s="49">
        <f>INDEX(PeakCalc!$L$10:$L$303,MATCH(tblPivotData[[#This Row],[Time]],PeakCalc!$G$10:$G$303,0))</f>
        <v>1</v>
      </c>
    </row>
    <row r="953" spans="1:9" x14ac:dyDescent="0.25">
      <c r="A953" t="s">
        <v>96</v>
      </c>
      <c r="B953" t="s">
        <v>100</v>
      </c>
      <c r="C953" t="s">
        <v>96</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100</v>
      </c>
      <c r="C954" t="s">
        <v>96</v>
      </c>
      <c r="D954" t="s">
        <v>91</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100</v>
      </c>
      <c r="C955" t="s">
        <v>96</v>
      </c>
      <c r="D955" t="s">
        <v>91</v>
      </c>
      <c r="E955" t="s">
        <v>44</v>
      </c>
      <c r="F955" s="6">
        <v>0.67708333333333337</v>
      </c>
      <c r="G955">
        <v>0</v>
      </c>
      <c r="H955" s="6">
        <f>FLOOR(tblPivotData[[#This Row],[Time]],Summary!$B$6/1440)</f>
        <v>0.67708333333333326</v>
      </c>
      <c r="I955" s="49">
        <f>INDEX(PeakCalc!$L$10:$L$303,MATCH(tblPivotData[[#This Row],[Time]],PeakCalc!$G$10:$G$303,0))</f>
        <v>1</v>
      </c>
    </row>
    <row r="956" spans="1:9" x14ac:dyDescent="0.25">
      <c r="A956" t="s">
        <v>96</v>
      </c>
      <c r="B956" t="s">
        <v>100</v>
      </c>
      <c r="C956" t="s">
        <v>96</v>
      </c>
      <c r="D956" t="s">
        <v>91</v>
      </c>
      <c r="E956" t="s">
        <v>44</v>
      </c>
      <c r="F956" s="6">
        <v>0.6875</v>
      </c>
      <c r="G956">
        <v>0</v>
      </c>
      <c r="H956" s="6">
        <f>FLOOR(tblPivotData[[#This Row],[Time]],Summary!$B$6/1440)</f>
        <v>0.6875</v>
      </c>
      <c r="I956" s="49">
        <f>INDEX(PeakCalc!$L$10:$L$303,MATCH(tblPivotData[[#This Row],[Time]],PeakCalc!$G$10:$G$303,0))</f>
        <v>1</v>
      </c>
    </row>
    <row r="957" spans="1:9" x14ac:dyDescent="0.25">
      <c r="A957" t="s">
        <v>96</v>
      </c>
      <c r="B957" t="s">
        <v>100</v>
      </c>
      <c r="C957" t="s">
        <v>96</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100</v>
      </c>
      <c r="C958" t="s">
        <v>96</v>
      </c>
      <c r="D958" t="s">
        <v>91</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100</v>
      </c>
      <c r="C959" t="s">
        <v>96</v>
      </c>
      <c r="D959" t="s">
        <v>91</v>
      </c>
      <c r="E959" t="s">
        <v>44</v>
      </c>
      <c r="F959" s="6">
        <v>0.71875</v>
      </c>
      <c r="G959">
        <v>0</v>
      </c>
      <c r="H959" s="6">
        <f>FLOOR(tblPivotData[[#This Row],[Time]],Summary!$B$6/1440)</f>
        <v>0.71875</v>
      </c>
      <c r="I959" s="49">
        <f>INDEX(PeakCalc!$L$10:$L$303,MATCH(tblPivotData[[#This Row],[Time]],PeakCalc!$G$10:$G$303,0))</f>
        <v>0</v>
      </c>
    </row>
    <row r="960" spans="1:9" x14ac:dyDescent="0.25">
      <c r="A960" t="s">
        <v>96</v>
      </c>
      <c r="B960" t="s">
        <v>100</v>
      </c>
      <c r="C960" t="s">
        <v>96</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100</v>
      </c>
      <c r="C961" t="s">
        <v>96</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6" t="s">
        <v>93</v>
      </c>
      <c r="D11" s="57"/>
      <c r="E11" s="57"/>
      <c r="F11" s="57"/>
      <c r="G11" s="57"/>
      <c r="H11" s="57"/>
      <c r="I11" s="57"/>
      <c r="J11" s="57"/>
      <c r="K11" s="57"/>
      <c r="L11" s="57"/>
      <c r="M11" s="57"/>
      <c r="N11" s="57"/>
      <c r="O11" s="57"/>
      <c r="P11" s="57"/>
      <c r="Q11" s="57"/>
      <c r="R11" s="57"/>
      <c r="S11" s="54" t="s">
        <v>111</v>
      </c>
      <c r="T11" s="56" t="s">
        <v>94</v>
      </c>
      <c r="U11" s="57"/>
      <c r="V11" s="57"/>
      <c r="W11" s="57"/>
      <c r="X11" s="57"/>
      <c r="Y11" s="57"/>
      <c r="Z11" s="57"/>
      <c r="AA11" s="57"/>
      <c r="AB11" s="57"/>
      <c r="AC11" s="57"/>
      <c r="AD11" s="57"/>
      <c r="AE11" s="57"/>
      <c r="AF11" s="57"/>
      <c r="AG11" s="57"/>
      <c r="AH11" s="57"/>
      <c r="AI11" s="57"/>
      <c r="AJ11" s="54" t="s">
        <v>112</v>
      </c>
      <c r="AK11" s="56" t="s">
        <v>95</v>
      </c>
      <c r="AL11" s="57"/>
      <c r="AM11" s="57"/>
      <c r="AN11" s="57"/>
      <c r="AO11" s="57"/>
      <c r="AP11" s="57"/>
      <c r="AQ11" s="57"/>
      <c r="AR11" s="57"/>
      <c r="AS11" s="57"/>
      <c r="AT11" s="57"/>
      <c r="AU11" s="57"/>
      <c r="AV11" s="57"/>
      <c r="AW11" s="57"/>
      <c r="AX11" s="57"/>
      <c r="AY11" s="57"/>
      <c r="AZ11" s="57"/>
      <c r="BA11" s="54" t="s">
        <v>113</v>
      </c>
      <c r="BB11" s="56" t="s">
        <v>96</v>
      </c>
      <c r="BC11" s="57"/>
      <c r="BD11" s="57"/>
      <c r="BE11" s="57"/>
      <c r="BF11" s="57"/>
      <c r="BG11" s="57"/>
      <c r="BH11" s="57"/>
      <c r="BI11" s="57"/>
      <c r="BJ11" s="57"/>
      <c r="BK11" s="57"/>
      <c r="BL11" s="57"/>
      <c r="BM11" s="57"/>
      <c r="BN11" s="57"/>
      <c r="BO11" s="57"/>
      <c r="BP11" s="57"/>
      <c r="BQ11" s="57"/>
      <c r="BR11" s="54" t="s">
        <v>114</v>
      </c>
      <c r="BS11" s="54" t="s">
        <v>49</v>
      </c>
    </row>
    <row r="12" spans="2:71" x14ac:dyDescent="0.25">
      <c r="B12" s="25"/>
      <c r="C12" s="54" t="s">
        <v>97</v>
      </c>
      <c r="D12" s="55"/>
      <c r="E12" s="55"/>
      <c r="F12" s="54" t="s">
        <v>115</v>
      </c>
      <c r="G12" s="54" t="s">
        <v>98</v>
      </c>
      <c r="H12" s="55"/>
      <c r="I12" s="55"/>
      <c r="J12" s="54" t="s">
        <v>116</v>
      </c>
      <c r="K12" s="54" t="s">
        <v>99</v>
      </c>
      <c r="L12" s="55"/>
      <c r="M12" s="55"/>
      <c r="N12" s="54" t="s">
        <v>117</v>
      </c>
      <c r="O12" s="54" t="s">
        <v>100</v>
      </c>
      <c r="P12" s="55"/>
      <c r="Q12" s="55"/>
      <c r="R12" s="54" t="s">
        <v>118</v>
      </c>
      <c r="S12" s="55"/>
      <c r="T12" s="54" t="s">
        <v>100</v>
      </c>
      <c r="U12" s="55"/>
      <c r="V12" s="55"/>
      <c r="W12" s="54" t="s">
        <v>118</v>
      </c>
      <c r="X12" s="54" t="s">
        <v>101</v>
      </c>
      <c r="Y12" s="55"/>
      <c r="Z12" s="55"/>
      <c r="AA12" s="54" t="s">
        <v>119</v>
      </c>
      <c r="AB12" s="54" t="s">
        <v>102</v>
      </c>
      <c r="AC12" s="55"/>
      <c r="AD12" s="55"/>
      <c r="AE12" s="54" t="s">
        <v>120</v>
      </c>
      <c r="AF12" s="54" t="s">
        <v>103</v>
      </c>
      <c r="AG12" s="55"/>
      <c r="AH12" s="55"/>
      <c r="AI12" s="54" t="s">
        <v>121</v>
      </c>
      <c r="AJ12" s="55"/>
      <c r="AK12" s="54" t="s">
        <v>100</v>
      </c>
      <c r="AL12" s="55"/>
      <c r="AM12" s="55"/>
      <c r="AN12" s="54" t="s">
        <v>118</v>
      </c>
      <c r="AO12" s="54" t="s">
        <v>104</v>
      </c>
      <c r="AP12" s="55"/>
      <c r="AQ12" s="55"/>
      <c r="AR12" s="54" t="s">
        <v>122</v>
      </c>
      <c r="AS12" s="54" t="s">
        <v>105</v>
      </c>
      <c r="AT12" s="55"/>
      <c r="AU12" s="55"/>
      <c r="AV12" s="54" t="s">
        <v>123</v>
      </c>
      <c r="AW12" s="54" t="s">
        <v>106</v>
      </c>
      <c r="AX12" s="55"/>
      <c r="AY12" s="55"/>
      <c r="AZ12" s="54" t="s">
        <v>124</v>
      </c>
      <c r="BA12" s="55"/>
      <c r="BB12" s="54" t="s">
        <v>100</v>
      </c>
      <c r="BC12" s="55"/>
      <c r="BD12" s="55"/>
      <c r="BE12" s="54" t="s">
        <v>118</v>
      </c>
      <c r="BF12" s="54" t="s">
        <v>107</v>
      </c>
      <c r="BG12" s="55"/>
      <c r="BH12" s="55"/>
      <c r="BI12" s="54" t="s">
        <v>125</v>
      </c>
      <c r="BJ12" s="54" t="s">
        <v>108</v>
      </c>
      <c r="BK12" s="55"/>
      <c r="BL12" s="55"/>
      <c r="BM12" s="54" t="s">
        <v>126</v>
      </c>
      <c r="BN12" s="54" t="s">
        <v>109</v>
      </c>
      <c r="BO12" s="55"/>
      <c r="BP12" s="55"/>
      <c r="BQ12" s="54" t="s">
        <v>127</v>
      </c>
      <c r="BR12" s="55"/>
      <c r="BS12" s="55"/>
    </row>
    <row r="13" spans="2:71" ht="30" x14ac:dyDescent="0.25">
      <c r="B13" s="25"/>
      <c r="C13" s="24" t="s">
        <v>79</v>
      </c>
      <c r="D13" s="24" t="s">
        <v>89</v>
      </c>
      <c r="E13" s="24" t="s">
        <v>91</v>
      </c>
      <c r="F13" s="55"/>
      <c r="G13" s="24" t="s">
        <v>79</v>
      </c>
      <c r="H13" s="24" t="s">
        <v>89</v>
      </c>
      <c r="I13" s="24" t="s">
        <v>91</v>
      </c>
      <c r="J13" s="55"/>
      <c r="K13" s="24" t="s">
        <v>79</v>
      </c>
      <c r="L13" s="24" t="s">
        <v>89</v>
      </c>
      <c r="M13" s="24" t="s">
        <v>91</v>
      </c>
      <c r="N13" s="55"/>
      <c r="O13" s="24" t="s">
        <v>79</v>
      </c>
      <c r="P13" s="24" t="s">
        <v>89</v>
      </c>
      <c r="Q13" s="24" t="s">
        <v>91</v>
      </c>
      <c r="R13" s="55"/>
      <c r="S13" s="55"/>
      <c r="T13" s="24" t="s">
        <v>79</v>
      </c>
      <c r="U13" s="24" t="s">
        <v>89</v>
      </c>
      <c r="V13" s="24" t="s">
        <v>91</v>
      </c>
      <c r="W13" s="55"/>
      <c r="X13" s="24" t="s">
        <v>79</v>
      </c>
      <c r="Y13" s="24" t="s">
        <v>89</v>
      </c>
      <c r="Z13" s="24" t="s">
        <v>91</v>
      </c>
      <c r="AA13" s="55"/>
      <c r="AB13" s="24" t="s">
        <v>79</v>
      </c>
      <c r="AC13" s="24" t="s">
        <v>89</v>
      </c>
      <c r="AD13" s="24" t="s">
        <v>91</v>
      </c>
      <c r="AE13" s="55"/>
      <c r="AF13" s="24" t="s">
        <v>79</v>
      </c>
      <c r="AG13" s="24" t="s">
        <v>89</v>
      </c>
      <c r="AH13" s="24" t="s">
        <v>91</v>
      </c>
      <c r="AI13" s="55"/>
      <c r="AJ13" s="55"/>
      <c r="AK13" s="24" t="s">
        <v>79</v>
      </c>
      <c r="AL13" s="24" t="s">
        <v>89</v>
      </c>
      <c r="AM13" s="24" t="s">
        <v>91</v>
      </c>
      <c r="AN13" s="55"/>
      <c r="AO13" s="24" t="s">
        <v>79</v>
      </c>
      <c r="AP13" s="24" t="s">
        <v>89</v>
      </c>
      <c r="AQ13" s="24" t="s">
        <v>91</v>
      </c>
      <c r="AR13" s="55"/>
      <c r="AS13" s="24" t="s">
        <v>79</v>
      </c>
      <c r="AT13" s="24" t="s">
        <v>89</v>
      </c>
      <c r="AU13" s="24" t="s">
        <v>91</v>
      </c>
      <c r="AV13" s="55"/>
      <c r="AW13" s="24" t="s">
        <v>79</v>
      </c>
      <c r="AX13" s="24" t="s">
        <v>89</v>
      </c>
      <c r="AY13" s="24" t="s">
        <v>91</v>
      </c>
      <c r="AZ13" s="55"/>
      <c r="BA13" s="55"/>
      <c r="BB13" s="24" t="s">
        <v>79</v>
      </c>
      <c r="BC13" s="24" t="s">
        <v>89</v>
      </c>
      <c r="BD13" s="24" t="s">
        <v>91</v>
      </c>
      <c r="BE13" s="55"/>
      <c r="BF13" s="24" t="s">
        <v>79</v>
      </c>
      <c r="BG13" s="24" t="s">
        <v>89</v>
      </c>
      <c r="BH13" s="24" t="s">
        <v>91</v>
      </c>
      <c r="BI13" s="55"/>
      <c r="BJ13" s="24" t="s">
        <v>79</v>
      </c>
      <c r="BK13" s="24" t="s">
        <v>89</v>
      </c>
      <c r="BL13" s="24" t="s">
        <v>91</v>
      </c>
      <c r="BM13" s="55"/>
      <c r="BN13" s="24" t="s">
        <v>79</v>
      </c>
      <c r="BO13" s="24" t="s">
        <v>89</v>
      </c>
      <c r="BP13" s="24" t="s">
        <v>91</v>
      </c>
      <c r="BQ13" s="55"/>
      <c r="BR13" s="55"/>
      <c r="BS13" s="55"/>
    </row>
    <row r="14" spans="2:71" x14ac:dyDescent="0.25">
      <c r="B14" s="10" t="s">
        <v>43</v>
      </c>
      <c r="C14" s="49">
        <v>377</v>
      </c>
      <c r="D14" s="49">
        <v>13</v>
      </c>
      <c r="E14" s="49">
        <v>0</v>
      </c>
      <c r="F14" s="49">
        <v>390</v>
      </c>
      <c r="G14" s="49">
        <v>1774</v>
      </c>
      <c r="H14" s="49">
        <v>77</v>
      </c>
      <c r="I14" s="49">
        <v>0</v>
      </c>
      <c r="J14" s="49">
        <v>1851</v>
      </c>
      <c r="K14" s="49">
        <v>123</v>
      </c>
      <c r="L14" s="49">
        <v>9</v>
      </c>
      <c r="M14" s="49">
        <v>0</v>
      </c>
      <c r="N14" s="49">
        <v>132</v>
      </c>
      <c r="O14" s="49">
        <v>0</v>
      </c>
      <c r="P14" s="49">
        <v>0</v>
      </c>
      <c r="Q14" s="49">
        <v>0</v>
      </c>
      <c r="R14" s="49">
        <v>0</v>
      </c>
      <c r="S14" s="49">
        <v>2373</v>
      </c>
      <c r="T14" s="49">
        <v>3</v>
      </c>
      <c r="U14" s="49">
        <v>0</v>
      </c>
      <c r="V14" s="49">
        <v>0</v>
      </c>
      <c r="W14" s="49">
        <v>3</v>
      </c>
      <c r="X14" s="49">
        <v>385</v>
      </c>
      <c r="Y14" s="49">
        <v>28</v>
      </c>
      <c r="Z14" s="49">
        <v>2</v>
      </c>
      <c r="AA14" s="49">
        <v>415</v>
      </c>
      <c r="AB14" s="49">
        <v>1150</v>
      </c>
      <c r="AC14" s="49">
        <v>66</v>
      </c>
      <c r="AD14" s="49">
        <v>4</v>
      </c>
      <c r="AE14" s="49">
        <v>1220</v>
      </c>
      <c r="AF14" s="49">
        <v>191</v>
      </c>
      <c r="AG14" s="49">
        <v>14</v>
      </c>
      <c r="AH14" s="49">
        <v>0</v>
      </c>
      <c r="AI14" s="49">
        <v>205</v>
      </c>
      <c r="AJ14" s="49">
        <v>1843</v>
      </c>
      <c r="AK14" s="49">
        <v>1</v>
      </c>
      <c r="AL14" s="49">
        <v>0</v>
      </c>
      <c r="AM14" s="49">
        <v>0</v>
      </c>
      <c r="AN14" s="49">
        <v>1</v>
      </c>
      <c r="AO14" s="49">
        <v>878</v>
      </c>
      <c r="AP14" s="49">
        <v>92</v>
      </c>
      <c r="AQ14" s="49">
        <v>0</v>
      </c>
      <c r="AR14" s="49">
        <v>970</v>
      </c>
      <c r="AS14" s="49">
        <v>2126</v>
      </c>
      <c r="AT14" s="49">
        <v>92</v>
      </c>
      <c r="AU14" s="49">
        <v>0</v>
      </c>
      <c r="AV14" s="49">
        <v>2218</v>
      </c>
      <c r="AW14" s="49">
        <v>546</v>
      </c>
      <c r="AX14" s="49">
        <v>39</v>
      </c>
      <c r="AY14" s="49">
        <v>0</v>
      </c>
      <c r="AZ14" s="49">
        <v>585</v>
      </c>
      <c r="BA14" s="49">
        <v>3774</v>
      </c>
      <c r="BB14" s="49">
        <v>1</v>
      </c>
      <c r="BC14" s="49">
        <v>0</v>
      </c>
      <c r="BD14" s="49">
        <v>0</v>
      </c>
      <c r="BE14" s="49">
        <v>1</v>
      </c>
      <c r="BF14" s="49">
        <v>80</v>
      </c>
      <c r="BG14" s="49">
        <v>9</v>
      </c>
      <c r="BH14" s="49">
        <v>0</v>
      </c>
      <c r="BI14" s="49">
        <v>89</v>
      </c>
      <c r="BJ14" s="49">
        <v>1278</v>
      </c>
      <c r="BK14" s="49">
        <v>75</v>
      </c>
      <c r="BL14" s="49">
        <v>3</v>
      </c>
      <c r="BM14" s="49">
        <v>1356</v>
      </c>
      <c r="BN14" s="49">
        <v>519</v>
      </c>
      <c r="BO14" s="49">
        <v>63</v>
      </c>
      <c r="BP14" s="49">
        <v>0</v>
      </c>
      <c r="BQ14" s="49">
        <v>582</v>
      </c>
      <c r="BR14" s="49">
        <v>2028</v>
      </c>
      <c r="BS14" s="49">
        <v>10018</v>
      </c>
    </row>
    <row r="15" spans="2:71" x14ac:dyDescent="0.25">
      <c r="B15" s="11">
        <v>0.29166666666666669</v>
      </c>
      <c r="C15" s="49">
        <v>38</v>
      </c>
      <c r="D15" s="49">
        <v>1</v>
      </c>
      <c r="E15" s="49">
        <v>0</v>
      </c>
      <c r="F15" s="49">
        <v>39</v>
      </c>
      <c r="G15" s="49">
        <v>188</v>
      </c>
      <c r="H15" s="49">
        <v>10</v>
      </c>
      <c r="I15" s="49">
        <v>0</v>
      </c>
      <c r="J15" s="49">
        <v>198</v>
      </c>
      <c r="K15" s="49">
        <v>11</v>
      </c>
      <c r="L15" s="49">
        <v>2</v>
      </c>
      <c r="M15" s="49">
        <v>0</v>
      </c>
      <c r="N15" s="49">
        <v>13</v>
      </c>
      <c r="O15" s="49">
        <v>0</v>
      </c>
      <c r="P15" s="49">
        <v>0</v>
      </c>
      <c r="Q15" s="49">
        <v>0</v>
      </c>
      <c r="R15" s="49">
        <v>0</v>
      </c>
      <c r="S15" s="49">
        <v>250</v>
      </c>
      <c r="T15" s="49">
        <v>0</v>
      </c>
      <c r="U15" s="49">
        <v>0</v>
      </c>
      <c r="V15" s="49">
        <v>0</v>
      </c>
      <c r="W15" s="49">
        <v>0</v>
      </c>
      <c r="X15" s="49">
        <v>31</v>
      </c>
      <c r="Y15" s="49">
        <v>2</v>
      </c>
      <c r="Z15" s="49">
        <v>1</v>
      </c>
      <c r="AA15" s="49">
        <v>34</v>
      </c>
      <c r="AB15" s="49">
        <v>98</v>
      </c>
      <c r="AC15" s="49">
        <v>8</v>
      </c>
      <c r="AD15" s="49">
        <v>0</v>
      </c>
      <c r="AE15" s="49">
        <v>106</v>
      </c>
      <c r="AF15" s="49">
        <v>10</v>
      </c>
      <c r="AG15" s="49">
        <v>1</v>
      </c>
      <c r="AH15" s="49">
        <v>0</v>
      </c>
      <c r="AI15" s="49">
        <v>11</v>
      </c>
      <c r="AJ15" s="49">
        <v>151</v>
      </c>
      <c r="AK15" s="49">
        <v>0</v>
      </c>
      <c r="AL15" s="49">
        <v>0</v>
      </c>
      <c r="AM15" s="49">
        <v>0</v>
      </c>
      <c r="AN15" s="49">
        <v>0</v>
      </c>
      <c r="AO15" s="49">
        <v>74</v>
      </c>
      <c r="AP15" s="49">
        <v>11</v>
      </c>
      <c r="AQ15" s="49">
        <v>0</v>
      </c>
      <c r="AR15" s="49">
        <v>85</v>
      </c>
      <c r="AS15" s="49">
        <v>174</v>
      </c>
      <c r="AT15" s="49">
        <v>8</v>
      </c>
      <c r="AU15" s="49">
        <v>0</v>
      </c>
      <c r="AV15" s="49">
        <v>182</v>
      </c>
      <c r="AW15" s="49">
        <v>28</v>
      </c>
      <c r="AX15" s="49">
        <v>4</v>
      </c>
      <c r="AY15" s="49">
        <v>0</v>
      </c>
      <c r="AZ15" s="49">
        <v>32</v>
      </c>
      <c r="BA15" s="49">
        <v>299</v>
      </c>
      <c r="BB15" s="49">
        <v>0</v>
      </c>
      <c r="BC15" s="49">
        <v>0</v>
      </c>
      <c r="BD15" s="49">
        <v>0</v>
      </c>
      <c r="BE15" s="49">
        <v>0</v>
      </c>
      <c r="BF15" s="49">
        <v>3</v>
      </c>
      <c r="BG15" s="49">
        <v>2</v>
      </c>
      <c r="BH15" s="49">
        <v>0</v>
      </c>
      <c r="BI15" s="49">
        <v>5</v>
      </c>
      <c r="BJ15" s="49">
        <v>116</v>
      </c>
      <c r="BK15" s="49">
        <v>9</v>
      </c>
      <c r="BL15" s="49">
        <v>1</v>
      </c>
      <c r="BM15" s="49">
        <v>126</v>
      </c>
      <c r="BN15" s="49">
        <v>53</v>
      </c>
      <c r="BO15" s="49">
        <v>8</v>
      </c>
      <c r="BP15" s="49">
        <v>0</v>
      </c>
      <c r="BQ15" s="49">
        <v>61</v>
      </c>
      <c r="BR15" s="49">
        <v>192</v>
      </c>
      <c r="BS15" s="49">
        <v>892</v>
      </c>
    </row>
    <row r="16" spans="2:71" x14ac:dyDescent="0.25">
      <c r="B16" s="11">
        <v>0.30208333333333331</v>
      </c>
      <c r="C16" s="49">
        <v>24</v>
      </c>
      <c r="D16" s="49">
        <v>0</v>
      </c>
      <c r="E16" s="49">
        <v>0</v>
      </c>
      <c r="F16" s="49">
        <v>24</v>
      </c>
      <c r="G16" s="49">
        <v>247</v>
      </c>
      <c r="H16" s="49">
        <v>12</v>
      </c>
      <c r="I16" s="49">
        <v>0</v>
      </c>
      <c r="J16" s="49">
        <v>259</v>
      </c>
      <c r="K16" s="49">
        <v>15</v>
      </c>
      <c r="L16" s="49">
        <v>1</v>
      </c>
      <c r="M16" s="49">
        <v>0</v>
      </c>
      <c r="N16" s="49">
        <v>16</v>
      </c>
      <c r="O16" s="49">
        <v>0</v>
      </c>
      <c r="P16" s="49">
        <v>0</v>
      </c>
      <c r="Q16" s="49">
        <v>0</v>
      </c>
      <c r="R16" s="49">
        <v>0</v>
      </c>
      <c r="S16" s="49">
        <v>299</v>
      </c>
      <c r="T16" s="49">
        <v>0</v>
      </c>
      <c r="U16" s="49">
        <v>0</v>
      </c>
      <c r="V16" s="49">
        <v>0</v>
      </c>
      <c r="W16" s="49">
        <v>0</v>
      </c>
      <c r="X16" s="49">
        <v>45</v>
      </c>
      <c r="Y16" s="49">
        <v>1</v>
      </c>
      <c r="Z16" s="49">
        <v>0</v>
      </c>
      <c r="AA16" s="49">
        <v>46</v>
      </c>
      <c r="AB16" s="49">
        <v>119</v>
      </c>
      <c r="AC16" s="49">
        <v>11</v>
      </c>
      <c r="AD16" s="49">
        <v>2</v>
      </c>
      <c r="AE16" s="49">
        <v>132</v>
      </c>
      <c r="AF16" s="49">
        <v>13</v>
      </c>
      <c r="AG16" s="49">
        <v>4</v>
      </c>
      <c r="AH16" s="49">
        <v>0</v>
      </c>
      <c r="AI16" s="49">
        <v>17</v>
      </c>
      <c r="AJ16" s="49">
        <v>195</v>
      </c>
      <c r="AK16" s="49">
        <v>0</v>
      </c>
      <c r="AL16" s="49">
        <v>0</v>
      </c>
      <c r="AM16" s="49">
        <v>0</v>
      </c>
      <c r="AN16" s="49">
        <v>0</v>
      </c>
      <c r="AO16" s="49">
        <v>118</v>
      </c>
      <c r="AP16" s="49">
        <v>9</v>
      </c>
      <c r="AQ16" s="49">
        <v>0</v>
      </c>
      <c r="AR16" s="49">
        <v>127</v>
      </c>
      <c r="AS16" s="49">
        <v>209</v>
      </c>
      <c r="AT16" s="49">
        <v>9</v>
      </c>
      <c r="AU16" s="49">
        <v>0</v>
      </c>
      <c r="AV16" s="49">
        <v>218</v>
      </c>
      <c r="AW16" s="49">
        <v>46</v>
      </c>
      <c r="AX16" s="49">
        <v>7</v>
      </c>
      <c r="AY16" s="49">
        <v>0</v>
      </c>
      <c r="AZ16" s="49">
        <v>53</v>
      </c>
      <c r="BA16" s="49">
        <v>398</v>
      </c>
      <c r="BB16" s="49">
        <v>0</v>
      </c>
      <c r="BC16" s="49">
        <v>0</v>
      </c>
      <c r="BD16" s="49">
        <v>0</v>
      </c>
      <c r="BE16" s="49">
        <v>0</v>
      </c>
      <c r="BF16" s="49">
        <v>5</v>
      </c>
      <c r="BG16" s="49">
        <v>0</v>
      </c>
      <c r="BH16" s="49">
        <v>0</v>
      </c>
      <c r="BI16" s="49">
        <v>5</v>
      </c>
      <c r="BJ16" s="49">
        <v>131</v>
      </c>
      <c r="BK16" s="49">
        <v>9</v>
      </c>
      <c r="BL16" s="49">
        <v>0</v>
      </c>
      <c r="BM16" s="49">
        <v>140</v>
      </c>
      <c r="BN16" s="49">
        <v>67</v>
      </c>
      <c r="BO16" s="49">
        <v>7</v>
      </c>
      <c r="BP16" s="49">
        <v>0</v>
      </c>
      <c r="BQ16" s="49">
        <v>74</v>
      </c>
      <c r="BR16" s="49">
        <v>219</v>
      </c>
      <c r="BS16" s="49">
        <v>1111</v>
      </c>
    </row>
    <row r="17" spans="2:71" x14ac:dyDescent="0.25">
      <c r="B17" s="11">
        <v>0.3125</v>
      </c>
      <c r="C17" s="49">
        <v>44</v>
      </c>
      <c r="D17" s="49">
        <v>0</v>
      </c>
      <c r="E17" s="49">
        <v>0</v>
      </c>
      <c r="F17" s="49">
        <v>44</v>
      </c>
      <c r="G17" s="49">
        <v>208</v>
      </c>
      <c r="H17" s="49">
        <v>11</v>
      </c>
      <c r="I17" s="49">
        <v>0</v>
      </c>
      <c r="J17" s="49">
        <v>219</v>
      </c>
      <c r="K17" s="49">
        <v>14</v>
      </c>
      <c r="L17" s="49">
        <v>1</v>
      </c>
      <c r="M17" s="49">
        <v>0</v>
      </c>
      <c r="N17" s="49">
        <v>15</v>
      </c>
      <c r="O17" s="49">
        <v>0</v>
      </c>
      <c r="P17" s="49">
        <v>0</v>
      </c>
      <c r="Q17" s="49">
        <v>0</v>
      </c>
      <c r="R17" s="49">
        <v>0</v>
      </c>
      <c r="S17" s="49">
        <v>278</v>
      </c>
      <c r="T17" s="49">
        <v>0</v>
      </c>
      <c r="U17" s="49">
        <v>0</v>
      </c>
      <c r="V17" s="49">
        <v>0</v>
      </c>
      <c r="W17" s="49">
        <v>0</v>
      </c>
      <c r="X17" s="49">
        <v>50</v>
      </c>
      <c r="Y17" s="49">
        <v>2</v>
      </c>
      <c r="Z17" s="49">
        <v>1</v>
      </c>
      <c r="AA17" s="49">
        <v>53</v>
      </c>
      <c r="AB17" s="49">
        <v>136</v>
      </c>
      <c r="AC17" s="49">
        <v>8</v>
      </c>
      <c r="AD17" s="49">
        <v>1</v>
      </c>
      <c r="AE17" s="49">
        <v>145</v>
      </c>
      <c r="AF17" s="49">
        <v>13</v>
      </c>
      <c r="AG17" s="49">
        <v>2</v>
      </c>
      <c r="AH17" s="49">
        <v>0</v>
      </c>
      <c r="AI17" s="49">
        <v>15</v>
      </c>
      <c r="AJ17" s="49">
        <v>213</v>
      </c>
      <c r="AK17" s="49">
        <v>1</v>
      </c>
      <c r="AL17" s="49">
        <v>0</v>
      </c>
      <c r="AM17" s="49">
        <v>0</v>
      </c>
      <c r="AN17" s="49">
        <v>1</v>
      </c>
      <c r="AO17" s="49">
        <v>112</v>
      </c>
      <c r="AP17" s="49">
        <v>10</v>
      </c>
      <c r="AQ17" s="49">
        <v>0</v>
      </c>
      <c r="AR17" s="49">
        <v>122</v>
      </c>
      <c r="AS17" s="49">
        <v>287</v>
      </c>
      <c r="AT17" s="49">
        <v>12</v>
      </c>
      <c r="AU17" s="49">
        <v>0</v>
      </c>
      <c r="AV17" s="49">
        <v>299</v>
      </c>
      <c r="AW17" s="49">
        <v>59</v>
      </c>
      <c r="AX17" s="49">
        <v>3</v>
      </c>
      <c r="AY17" s="49">
        <v>0</v>
      </c>
      <c r="AZ17" s="49">
        <v>62</v>
      </c>
      <c r="BA17" s="49">
        <v>484</v>
      </c>
      <c r="BB17" s="49">
        <v>0</v>
      </c>
      <c r="BC17" s="49">
        <v>0</v>
      </c>
      <c r="BD17" s="49">
        <v>0</v>
      </c>
      <c r="BE17" s="49">
        <v>0</v>
      </c>
      <c r="BF17" s="49">
        <v>6</v>
      </c>
      <c r="BG17" s="49">
        <v>1</v>
      </c>
      <c r="BH17" s="49">
        <v>0</v>
      </c>
      <c r="BI17" s="49">
        <v>7</v>
      </c>
      <c r="BJ17" s="49">
        <v>174</v>
      </c>
      <c r="BK17" s="49">
        <v>14</v>
      </c>
      <c r="BL17" s="49">
        <v>1</v>
      </c>
      <c r="BM17" s="49">
        <v>189</v>
      </c>
      <c r="BN17" s="49">
        <v>63</v>
      </c>
      <c r="BO17" s="49">
        <v>5</v>
      </c>
      <c r="BP17" s="49">
        <v>0</v>
      </c>
      <c r="BQ17" s="49">
        <v>68</v>
      </c>
      <c r="BR17" s="49">
        <v>264</v>
      </c>
      <c r="BS17" s="49">
        <v>1239</v>
      </c>
    </row>
    <row r="18" spans="2:71" x14ac:dyDescent="0.25">
      <c r="B18" s="11">
        <v>0.32291666666666669</v>
      </c>
      <c r="C18" s="49">
        <v>57</v>
      </c>
      <c r="D18" s="49">
        <v>2</v>
      </c>
      <c r="E18" s="49">
        <v>0</v>
      </c>
      <c r="F18" s="49">
        <v>59</v>
      </c>
      <c r="G18" s="49">
        <v>228</v>
      </c>
      <c r="H18" s="49">
        <v>5</v>
      </c>
      <c r="I18" s="49">
        <v>0</v>
      </c>
      <c r="J18" s="49">
        <v>233</v>
      </c>
      <c r="K18" s="49">
        <v>20</v>
      </c>
      <c r="L18" s="49">
        <v>0</v>
      </c>
      <c r="M18" s="49">
        <v>0</v>
      </c>
      <c r="N18" s="49">
        <v>20</v>
      </c>
      <c r="O18" s="49">
        <v>0</v>
      </c>
      <c r="P18" s="49">
        <v>0</v>
      </c>
      <c r="Q18" s="49">
        <v>0</v>
      </c>
      <c r="R18" s="49">
        <v>0</v>
      </c>
      <c r="S18" s="49">
        <v>312</v>
      </c>
      <c r="T18" s="49">
        <v>1</v>
      </c>
      <c r="U18" s="49">
        <v>0</v>
      </c>
      <c r="V18" s="49">
        <v>0</v>
      </c>
      <c r="W18" s="49">
        <v>1</v>
      </c>
      <c r="X18" s="49">
        <v>49</v>
      </c>
      <c r="Y18" s="49">
        <v>5</v>
      </c>
      <c r="Z18" s="49">
        <v>0</v>
      </c>
      <c r="AA18" s="49">
        <v>54</v>
      </c>
      <c r="AB18" s="49">
        <v>191</v>
      </c>
      <c r="AC18" s="49">
        <v>10</v>
      </c>
      <c r="AD18" s="49">
        <v>0</v>
      </c>
      <c r="AE18" s="49">
        <v>201</v>
      </c>
      <c r="AF18" s="49">
        <v>21</v>
      </c>
      <c r="AG18" s="49">
        <v>2</v>
      </c>
      <c r="AH18" s="49">
        <v>0</v>
      </c>
      <c r="AI18" s="49">
        <v>23</v>
      </c>
      <c r="AJ18" s="49">
        <v>279</v>
      </c>
      <c r="AK18" s="49">
        <v>0</v>
      </c>
      <c r="AL18" s="49">
        <v>0</v>
      </c>
      <c r="AM18" s="49">
        <v>0</v>
      </c>
      <c r="AN18" s="49">
        <v>0</v>
      </c>
      <c r="AO18" s="49">
        <v>116</v>
      </c>
      <c r="AP18" s="49">
        <v>9</v>
      </c>
      <c r="AQ18" s="49">
        <v>0</v>
      </c>
      <c r="AR18" s="49">
        <v>125</v>
      </c>
      <c r="AS18" s="49">
        <v>265</v>
      </c>
      <c r="AT18" s="49">
        <v>9</v>
      </c>
      <c r="AU18" s="49">
        <v>0</v>
      </c>
      <c r="AV18" s="49">
        <v>274</v>
      </c>
      <c r="AW18" s="49">
        <v>82</v>
      </c>
      <c r="AX18" s="49">
        <v>8</v>
      </c>
      <c r="AY18" s="49">
        <v>0</v>
      </c>
      <c r="AZ18" s="49">
        <v>90</v>
      </c>
      <c r="BA18" s="49">
        <v>489</v>
      </c>
      <c r="BB18" s="49">
        <v>0</v>
      </c>
      <c r="BC18" s="49">
        <v>0</v>
      </c>
      <c r="BD18" s="49">
        <v>0</v>
      </c>
      <c r="BE18" s="49">
        <v>0</v>
      </c>
      <c r="BF18" s="49">
        <v>13</v>
      </c>
      <c r="BG18" s="49">
        <v>1</v>
      </c>
      <c r="BH18" s="49">
        <v>0</v>
      </c>
      <c r="BI18" s="49">
        <v>14</v>
      </c>
      <c r="BJ18" s="49">
        <v>181</v>
      </c>
      <c r="BK18" s="49">
        <v>10</v>
      </c>
      <c r="BL18" s="49">
        <v>0</v>
      </c>
      <c r="BM18" s="49">
        <v>191</v>
      </c>
      <c r="BN18" s="49">
        <v>60</v>
      </c>
      <c r="BO18" s="49">
        <v>7</v>
      </c>
      <c r="BP18" s="49">
        <v>0</v>
      </c>
      <c r="BQ18" s="49">
        <v>67</v>
      </c>
      <c r="BR18" s="49">
        <v>272</v>
      </c>
      <c r="BS18" s="49">
        <v>1352</v>
      </c>
    </row>
    <row r="19" spans="2:71" x14ac:dyDescent="0.25">
      <c r="B19" s="11">
        <v>0.33333333333333331</v>
      </c>
      <c r="C19" s="49">
        <v>65</v>
      </c>
      <c r="D19" s="49">
        <v>4</v>
      </c>
      <c r="E19" s="49">
        <v>0</v>
      </c>
      <c r="F19" s="49">
        <v>69</v>
      </c>
      <c r="G19" s="49">
        <v>218</v>
      </c>
      <c r="H19" s="49">
        <v>9</v>
      </c>
      <c r="I19" s="49">
        <v>0</v>
      </c>
      <c r="J19" s="49">
        <v>227</v>
      </c>
      <c r="K19" s="49">
        <v>23</v>
      </c>
      <c r="L19" s="49">
        <v>2</v>
      </c>
      <c r="M19" s="49">
        <v>0</v>
      </c>
      <c r="N19" s="49">
        <v>25</v>
      </c>
      <c r="O19" s="49">
        <v>0</v>
      </c>
      <c r="P19" s="49">
        <v>0</v>
      </c>
      <c r="Q19" s="49">
        <v>0</v>
      </c>
      <c r="R19" s="49">
        <v>0</v>
      </c>
      <c r="S19" s="49">
        <v>321</v>
      </c>
      <c r="T19" s="49">
        <v>1</v>
      </c>
      <c r="U19" s="49">
        <v>0</v>
      </c>
      <c r="V19" s="49">
        <v>0</v>
      </c>
      <c r="W19" s="49">
        <v>1</v>
      </c>
      <c r="X19" s="49">
        <v>25</v>
      </c>
      <c r="Y19" s="49">
        <v>3</v>
      </c>
      <c r="Z19" s="49">
        <v>0</v>
      </c>
      <c r="AA19" s="49">
        <v>28</v>
      </c>
      <c r="AB19" s="49">
        <v>192</v>
      </c>
      <c r="AC19" s="49">
        <v>6</v>
      </c>
      <c r="AD19" s="49">
        <v>1</v>
      </c>
      <c r="AE19" s="49">
        <v>199</v>
      </c>
      <c r="AF19" s="49">
        <v>22</v>
      </c>
      <c r="AG19" s="49">
        <v>1</v>
      </c>
      <c r="AH19" s="49">
        <v>0</v>
      </c>
      <c r="AI19" s="49">
        <v>23</v>
      </c>
      <c r="AJ19" s="49">
        <v>251</v>
      </c>
      <c r="AK19" s="49">
        <v>0</v>
      </c>
      <c r="AL19" s="49">
        <v>0</v>
      </c>
      <c r="AM19" s="49">
        <v>0</v>
      </c>
      <c r="AN19" s="49">
        <v>0</v>
      </c>
      <c r="AO19" s="49">
        <v>129</v>
      </c>
      <c r="AP19" s="49">
        <v>15</v>
      </c>
      <c r="AQ19" s="49">
        <v>0</v>
      </c>
      <c r="AR19" s="49">
        <v>144</v>
      </c>
      <c r="AS19" s="49">
        <v>308</v>
      </c>
      <c r="AT19" s="49">
        <v>18</v>
      </c>
      <c r="AU19" s="49">
        <v>0</v>
      </c>
      <c r="AV19" s="49">
        <v>326</v>
      </c>
      <c r="AW19" s="49">
        <v>93</v>
      </c>
      <c r="AX19" s="49">
        <v>4</v>
      </c>
      <c r="AY19" s="49">
        <v>0</v>
      </c>
      <c r="AZ19" s="49">
        <v>97</v>
      </c>
      <c r="BA19" s="49">
        <v>567</v>
      </c>
      <c r="BB19" s="49">
        <v>0</v>
      </c>
      <c r="BC19" s="49">
        <v>0</v>
      </c>
      <c r="BD19" s="49">
        <v>0</v>
      </c>
      <c r="BE19" s="49">
        <v>0</v>
      </c>
      <c r="BF19" s="49">
        <v>10</v>
      </c>
      <c r="BG19" s="49">
        <v>0</v>
      </c>
      <c r="BH19" s="49">
        <v>0</v>
      </c>
      <c r="BI19" s="49">
        <v>10</v>
      </c>
      <c r="BJ19" s="49">
        <v>173</v>
      </c>
      <c r="BK19" s="49">
        <v>10</v>
      </c>
      <c r="BL19" s="49">
        <v>0</v>
      </c>
      <c r="BM19" s="49">
        <v>183</v>
      </c>
      <c r="BN19" s="49">
        <v>58</v>
      </c>
      <c r="BO19" s="49">
        <v>8</v>
      </c>
      <c r="BP19" s="49">
        <v>0</v>
      </c>
      <c r="BQ19" s="49">
        <v>66</v>
      </c>
      <c r="BR19" s="49">
        <v>259</v>
      </c>
      <c r="BS19" s="49">
        <v>1398</v>
      </c>
    </row>
    <row r="20" spans="2:71" x14ac:dyDescent="0.25">
      <c r="B20" s="11">
        <v>0.34375</v>
      </c>
      <c r="C20" s="49">
        <v>51</v>
      </c>
      <c r="D20" s="49">
        <v>3</v>
      </c>
      <c r="E20" s="49">
        <v>0</v>
      </c>
      <c r="F20" s="49">
        <v>54</v>
      </c>
      <c r="G20" s="49">
        <v>241</v>
      </c>
      <c r="H20" s="49">
        <v>10</v>
      </c>
      <c r="I20" s="49">
        <v>0</v>
      </c>
      <c r="J20" s="49">
        <v>251</v>
      </c>
      <c r="K20" s="49">
        <v>14</v>
      </c>
      <c r="L20" s="49">
        <v>2</v>
      </c>
      <c r="M20" s="49">
        <v>0</v>
      </c>
      <c r="N20" s="49">
        <v>16</v>
      </c>
      <c r="O20" s="49">
        <v>0</v>
      </c>
      <c r="P20" s="49">
        <v>0</v>
      </c>
      <c r="Q20" s="49">
        <v>0</v>
      </c>
      <c r="R20" s="49">
        <v>0</v>
      </c>
      <c r="S20" s="49">
        <v>321</v>
      </c>
      <c r="T20" s="49">
        <v>1</v>
      </c>
      <c r="U20" s="49">
        <v>0</v>
      </c>
      <c r="V20" s="49">
        <v>0</v>
      </c>
      <c r="W20" s="49">
        <v>1</v>
      </c>
      <c r="X20" s="49">
        <v>60</v>
      </c>
      <c r="Y20" s="49">
        <v>2</v>
      </c>
      <c r="Z20" s="49">
        <v>0</v>
      </c>
      <c r="AA20" s="49">
        <v>62</v>
      </c>
      <c r="AB20" s="49">
        <v>132</v>
      </c>
      <c r="AC20" s="49">
        <v>8</v>
      </c>
      <c r="AD20" s="49">
        <v>0</v>
      </c>
      <c r="AE20" s="49">
        <v>140</v>
      </c>
      <c r="AF20" s="49">
        <v>29</v>
      </c>
      <c r="AG20" s="49">
        <v>0</v>
      </c>
      <c r="AH20" s="49">
        <v>0</v>
      </c>
      <c r="AI20" s="49">
        <v>29</v>
      </c>
      <c r="AJ20" s="49">
        <v>232</v>
      </c>
      <c r="AK20" s="49">
        <v>0</v>
      </c>
      <c r="AL20" s="49">
        <v>0</v>
      </c>
      <c r="AM20" s="49">
        <v>0</v>
      </c>
      <c r="AN20" s="49">
        <v>0</v>
      </c>
      <c r="AO20" s="49">
        <v>119</v>
      </c>
      <c r="AP20" s="49">
        <v>12</v>
      </c>
      <c r="AQ20" s="49">
        <v>0</v>
      </c>
      <c r="AR20" s="49">
        <v>131</v>
      </c>
      <c r="AS20" s="49">
        <v>325</v>
      </c>
      <c r="AT20" s="49">
        <v>13</v>
      </c>
      <c r="AU20" s="49">
        <v>0</v>
      </c>
      <c r="AV20" s="49">
        <v>338</v>
      </c>
      <c r="AW20" s="49">
        <v>80</v>
      </c>
      <c r="AX20" s="49">
        <v>2</v>
      </c>
      <c r="AY20" s="49">
        <v>0</v>
      </c>
      <c r="AZ20" s="49">
        <v>82</v>
      </c>
      <c r="BA20" s="49">
        <v>551</v>
      </c>
      <c r="BB20" s="49">
        <v>1</v>
      </c>
      <c r="BC20" s="49">
        <v>0</v>
      </c>
      <c r="BD20" s="49">
        <v>0</v>
      </c>
      <c r="BE20" s="49">
        <v>1</v>
      </c>
      <c r="BF20" s="49">
        <v>14</v>
      </c>
      <c r="BG20" s="49">
        <v>0</v>
      </c>
      <c r="BH20" s="49">
        <v>0</v>
      </c>
      <c r="BI20" s="49">
        <v>14</v>
      </c>
      <c r="BJ20" s="49">
        <v>177</v>
      </c>
      <c r="BK20" s="49">
        <v>7</v>
      </c>
      <c r="BL20" s="49">
        <v>1</v>
      </c>
      <c r="BM20" s="49">
        <v>185</v>
      </c>
      <c r="BN20" s="49">
        <v>84</v>
      </c>
      <c r="BO20" s="49">
        <v>7</v>
      </c>
      <c r="BP20" s="49">
        <v>0</v>
      </c>
      <c r="BQ20" s="49">
        <v>91</v>
      </c>
      <c r="BR20" s="49">
        <v>291</v>
      </c>
      <c r="BS20" s="49">
        <v>1395</v>
      </c>
    </row>
    <row r="21" spans="2:71" x14ac:dyDescent="0.25">
      <c r="B21" s="11">
        <v>0.35416666666666669</v>
      </c>
      <c r="C21" s="49">
        <v>51</v>
      </c>
      <c r="D21" s="49">
        <v>2</v>
      </c>
      <c r="E21" s="49">
        <v>0</v>
      </c>
      <c r="F21" s="49">
        <v>53</v>
      </c>
      <c r="G21" s="49">
        <v>248</v>
      </c>
      <c r="H21" s="49">
        <v>12</v>
      </c>
      <c r="I21" s="49">
        <v>0</v>
      </c>
      <c r="J21" s="49">
        <v>260</v>
      </c>
      <c r="K21" s="49">
        <v>16</v>
      </c>
      <c r="L21" s="49">
        <v>1</v>
      </c>
      <c r="M21" s="49">
        <v>0</v>
      </c>
      <c r="N21" s="49">
        <v>17</v>
      </c>
      <c r="O21" s="49">
        <v>0</v>
      </c>
      <c r="P21" s="49">
        <v>0</v>
      </c>
      <c r="Q21" s="49">
        <v>0</v>
      </c>
      <c r="R21" s="49">
        <v>0</v>
      </c>
      <c r="S21" s="49">
        <v>330</v>
      </c>
      <c r="T21" s="49">
        <v>0</v>
      </c>
      <c r="U21" s="49">
        <v>0</v>
      </c>
      <c r="V21" s="49">
        <v>0</v>
      </c>
      <c r="W21" s="49">
        <v>0</v>
      </c>
      <c r="X21" s="49">
        <v>70</v>
      </c>
      <c r="Y21" s="49">
        <v>7</v>
      </c>
      <c r="Z21" s="49">
        <v>0</v>
      </c>
      <c r="AA21" s="49">
        <v>77</v>
      </c>
      <c r="AB21" s="49">
        <v>127</v>
      </c>
      <c r="AC21" s="49">
        <v>9</v>
      </c>
      <c r="AD21" s="49">
        <v>0</v>
      </c>
      <c r="AE21" s="49">
        <v>136</v>
      </c>
      <c r="AF21" s="49">
        <v>43</v>
      </c>
      <c r="AG21" s="49">
        <v>2</v>
      </c>
      <c r="AH21" s="49">
        <v>0</v>
      </c>
      <c r="AI21" s="49">
        <v>45</v>
      </c>
      <c r="AJ21" s="49">
        <v>258</v>
      </c>
      <c r="AK21" s="49">
        <v>0</v>
      </c>
      <c r="AL21" s="49">
        <v>0</v>
      </c>
      <c r="AM21" s="49">
        <v>0</v>
      </c>
      <c r="AN21" s="49">
        <v>0</v>
      </c>
      <c r="AO21" s="49">
        <v>112</v>
      </c>
      <c r="AP21" s="49">
        <v>11</v>
      </c>
      <c r="AQ21" s="49">
        <v>0</v>
      </c>
      <c r="AR21" s="49">
        <v>123</v>
      </c>
      <c r="AS21" s="49">
        <v>305</v>
      </c>
      <c r="AT21" s="49">
        <v>14</v>
      </c>
      <c r="AU21" s="49">
        <v>0</v>
      </c>
      <c r="AV21" s="49">
        <v>319</v>
      </c>
      <c r="AW21" s="49">
        <v>89</v>
      </c>
      <c r="AX21" s="49">
        <v>2</v>
      </c>
      <c r="AY21" s="49">
        <v>0</v>
      </c>
      <c r="AZ21" s="49">
        <v>91</v>
      </c>
      <c r="BA21" s="49">
        <v>533</v>
      </c>
      <c r="BB21" s="49">
        <v>0</v>
      </c>
      <c r="BC21" s="49">
        <v>0</v>
      </c>
      <c r="BD21" s="49">
        <v>0</v>
      </c>
      <c r="BE21" s="49">
        <v>0</v>
      </c>
      <c r="BF21" s="49">
        <v>18</v>
      </c>
      <c r="BG21" s="49">
        <v>3</v>
      </c>
      <c r="BH21" s="49">
        <v>0</v>
      </c>
      <c r="BI21" s="49">
        <v>21</v>
      </c>
      <c r="BJ21" s="49">
        <v>178</v>
      </c>
      <c r="BK21" s="49">
        <v>8</v>
      </c>
      <c r="BL21" s="49">
        <v>0</v>
      </c>
      <c r="BM21" s="49">
        <v>186</v>
      </c>
      <c r="BN21" s="49">
        <v>64</v>
      </c>
      <c r="BO21" s="49">
        <v>9</v>
      </c>
      <c r="BP21" s="49">
        <v>0</v>
      </c>
      <c r="BQ21" s="49">
        <v>73</v>
      </c>
      <c r="BR21" s="49">
        <v>280</v>
      </c>
      <c r="BS21" s="49">
        <v>1401</v>
      </c>
    </row>
    <row r="22" spans="2:71" x14ac:dyDescent="0.25">
      <c r="B22" s="11">
        <v>0.36458333333333331</v>
      </c>
      <c r="C22" s="49">
        <v>47</v>
      </c>
      <c r="D22" s="49">
        <v>1</v>
      </c>
      <c r="E22" s="49">
        <v>0</v>
      </c>
      <c r="F22" s="49">
        <v>48</v>
      </c>
      <c r="G22" s="49">
        <v>196</v>
      </c>
      <c r="H22" s="49">
        <v>8</v>
      </c>
      <c r="I22" s="49">
        <v>0</v>
      </c>
      <c r="J22" s="49">
        <v>204</v>
      </c>
      <c r="K22" s="49">
        <v>10</v>
      </c>
      <c r="L22" s="49">
        <v>0</v>
      </c>
      <c r="M22" s="49">
        <v>0</v>
      </c>
      <c r="N22" s="49">
        <v>10</v>
      </c>
      <c r="O22" s="49">
        <v>0</v>
      </c>
      <c r="P22" s="49">
        <v>0</v>
      </c>
      <c r="Q22" s="49">
        <v>0</v>
      </c>
      <c r="R22" s="49">
        <v>0</v>
      </c>
      <c r="S22" s="49">
        <v>262</v>
      </c>
      <c r="T22" s="49">
        <v>0</v>
      </c>
      <c r="U22" s="49">
        <v>0</v>
      </c>
      <c r="V22" s="49">
        <v>0</v>
      </c>
      <c r="W22" s="49">
        <v>0</v>
      </c>
      <c r="X22" s="49">
        <v>55</v>
      </c>
      <c r="Y22" s="49">
        <v>6</v>
      </c>
      <c r="Z22" s="49">
        <v>0</v>
      </c>
      <c r="AA22" s="49">
        <v>61</v>
      </c>
      <c r="AB22" s="49">
        <v>155</v>
      </c>
      <c r="AC22" s="49">
        <v>6</v>
      </c>
      <c r="AD22" s="49">
        <v>0</v>
      </c>
      <c r="AE22" s="49">
        <v>161</v>
      </c>
      <c r="AF22" s="49">
        <v>40</v>
      </c>
      <c r="AG22" s="49">
        <v>2</v>
      </c>
      <c r="AH22" s="49">
        <v>0</v>
      </c>
      <c r="AI22" s="49">
        <v>42</v>
      </c>
      <c r="AJ22" s="49">
        <v>264</v>
      </c>
      <c r="AK22" s="49">
        <v>0</v>
      </c>
      <c r="AL22" s="49">
        <v>0</v>
      </c>
      <c r="AM22" s="49">
        <v>0</v>
      </c>
      <c r="AN22" s="49">
        <v>0</v>
      </c>
      <c r="AO22" s="49">
        <v>98</v>
      </c>
      <c r="AP22" s="49">
        <v>15</v>
      </c>
      <c r="AQ22" s="49">
        <v>0</v>
      </c>
      <c r="AR22" s="49">
        <v>113</v>
      </c>
      <c r="AS22" s="49">
        <v>253</v>
      </c>
      <c r="AT22" s="49">
        <v>9</v>
      </c>
      <c r="AU22" s="49">
        <v>0</v>
      </c>
      <c r="AV22" s="49">
        <v>262</v>
      </c>
      <c r="AW22" s="49">
        <v>69</v>
      </c>
      <c r="AX22" s="49">
        <v>9</v>
      </c>
      <c r="AY22" s="49">
        <v>0</v>
      </c>
      <c r="AZ22" s="49">
        <v>78</v>
      </c>
      <c r="BA22" s="49">
        <v>453</v>
      </c>
      <c r="BB22" s="49">
        <v>0</v>
      </c>
      <c r="BC22" s="49">
        <v>0</v>
      </c>
      <c r="BD22" s="49">
        <v>0</v>
      </c>
      <c r="BE22" s="49">
        <v>0</v>
      </c>
      <c r="BF22" s="49">
        <v>11</v>
      </c>
      <c r="BG22" s="49">
        <v>2</v>
      </c>
      <c r="BH22" s="49">
        <v>0</v>
      </c>
      <c r="BI22" s="49">
        <v>13</v>
      </c>
      <c r="BJ22" s="49">
        <v>148</v>
      </c>
      <c r="BK22" s="49">
        <v>8</v>
      </c>
      <c r="BL22" s="49">
        <v>0</v>
      </c>
      <c r="BM22" s="49">
        <v>156</v>
      </c>
      <c r="BN22" s="49">
        <v>70</v>
      </c>
      <c r="BO22" s="49">
        <v>12</v>
      </c>
      <c r="BP22" s="49">
        <v>0</v>
      </c>
      <c r="BQ22" s="49">
        <v>82</v>
      </c>
      <c r="BR22" s="49">
        <v>251</v>
      </c>
      <c r="BS22" s="49">
        <v>1230</v>
      </c>
    </row>
    <row r="23" spans="2:71" x14ac:dyDescent="0.25">
      <c r="B23" s="10" t="s">
        <v>44</v>
      </c>
      <c r="C23" s="49">
        <v>193</v>
      </c>
      <c r="D23" s="49">
        <v>10</v>
      </c>
      <c r="E23" s="49">
        <v>0</v>
      </c>
      <c r="F23" s="49">
        <v>203</v>
      </c>
      <c r="G23" s="49">
        <v>1963</v>
      </c>
      <c r="H23" s="49">
        <v>43</v>
      </c>
      <c r="I23" s="49">
        <v>0</v>
      </c>
      <c r="J23" s="49">
        <v>2006</v>
      </c>
      <c r="K23" s="49">
        <v>89</v>
      </c>
      <c r="L23" s="49">
        <v>8</v>
      </c>
      <c r="M23" s="49">
        <v>0</v>
      </c>
      <c r="N23" s="49">
        <v>97</v>
      </c>
      <c r="O23" s="49">
        <v>2</v>
      </c>
      <c r="P23" s="49">
        <v>0</v>
      </c>
      <c r="Q23" s="49">
        <v>0</v>
      </c>
      <c r="R23" s="49">
        <v>2</v>
      </c>
      <c r="S23" s="49">
        <v>2308</v>
      </c>
      <c r="T23" s="49">
        <v>2</v>
      </c>
      <c r="U23" s="49">
        <v>0</v>
      </c>
      <c r="V23" s="49">
        <v>0</v>
      </c>
      <c r="W23" s="49">
        <v>2</v>
      </c>
      <c r="X23" s="49">
        <v>567</v>
      </c>
      <c r="Y23" s="49">
        <v>17</v>
      </c>
      <c r="Z23" s="49">
        <v>0</v>
      </c>
      <c r="AA23" s="49">
        <v>584</v>
      </c>
      <c r="AB23" s="49">
        <v>1509</v>
      </c>
      <c r="AC23" s="49">
        <v>46</v>
      </c>
      <c r="AD23" s="49">
        <v>3</v>
      </c>
      <c r="AE23" s="49">
        <v>1558</v>
      </c>
      <c r="AF23" s="49">
        <v>497</v>
      </c>
      <c r="AG23" s="49">
        <v>8</v>
      </c>
      <c r="AH23" s="49">
        <v>0</v>
      </c>
      <c r="AI23" s="49">
        <v>505</v>
      </c>
      <c r="AJ23" s="49">
        <v>2649</v>
      </c>
      <c r="AK23" s="49">
        <v>0</v>
      </c>
      <c r="AL23" s="49">
        <v>0</v>
      </c>
      <c r="AM23" s="49">
        <v>0</v>
      </c>
      <c r="AN23" s="49">
        <v>0</v>
      </c>
      <c r="AO23" s="49">
        <v>574</v>
      </c>
      <c r="AP23" s="49">
        <v>58</v>
      </c>
      <c r="AQ23" s="49">
        <v>0</v>
      </c>
      <c r="AR23" s="49">
        <v>632</v>
      </c>
      <c r="AS23" s="49">
        <v>2424</v>
      </c>
      <c r="AT23" s="49">
        <v>58</v>
      </c>
      <c r="AU23" s="49">
        <v>0</v>
      </c>
      <c r="AV23" s="49">
        <v>2482</v>
      </c>
      <c r="AW23" s="49">
        <v>405</v>
      </c>
      <c r="AX23" s="49">
        <v>12</v>
      </c>
      <c r="AY23" s="49">
        <v>0</v>
      </c>
      <c r="AZ23" s="49">
        <v>417</v>
      </c>
      <c r="BA23" s="49">
        <v>3531</v>
      </c>
      <c r="BB23" s="49">
        <v>0</v>
      </c>
      <c r="BC23" s="49">
        <v>0</v>
      </c>
      <c r="BD23" s="49">
        <v>0</v>
      </c>
      <c r="BE23" s="49">
        <v>0</v>
      </c>
      <c r="BF23" s="49">
        <v>138</v>
      </c>
      <c r="BG23" s="49">
        <v>7</v>
      </c>
      <c r="BH23" s="49">
        <v>0</v>
      </c>
      <c r="BI23" s="49">
        <v>145</v>
      </c>
      <c r="BJ23" s="49">
        <v>1306</v>
      </c>
      <c r="BK23" s="49">
        <v>34</v>
      </c>
      <c r="BL23" s="49">
        <v>0</v>
      </c>
      <c r="BM23" s="49">
        <v>1340</v>
      </c>
      <c r="BN23" s="49">
        <v>882</v>
      </c>
      <c r="BO23" s="49">
        <v>31</v>
      </c>
      <c r="BP23" s="49">
        <v>0</v>
      </c>
      <c r="BQ23" s="49">
        <v>913</v>
      </c>
      <c r="BR23" s="49">
        <v>2398</v>
      </c>
      <c r="BS23" s="49">
        <v>10886</v>
      </c>
    </row>
    <row r="24" spans="2:71" x14ac:dyDescent="0.25">
      <c r="B24" s="11">
        <v>0.66666666666666663</v>
      </c>
      <c r="C24" s="49">
        <v>26</v>
      </c>
      <c r="D24" s="49">
        <v>2</v>
      </c>
      <c r="E24" s="49">
        <v>0</v>
      </c>
      <c r="F24" s="49">
        <v>28</v>
      </c>
      <c r="G24" s="49">
        <v>235</v>
      </c>
      <c r="H24" s="49">
        <v>7</v>
      </c>
      <c r="I24" s="49">
        <v>0</v>
      </c>
      <c r="J24" s="49">
        <v>242</v>
      </c>
      <c r="K24" s="49">
        <v>17</v>
      </c>
      <c r="L24" s="49">
        <v>2</v>
      </c>
      <c r="M24" s="49">
        <v>0</v>
      </c>
      <c r="N24" s="49">
        <v>19</v>
      </c>
      <c r="O24" s="49">
        <v>0</v>
      </c>
      <c r="P24" s="49">
        <v>0</v>
      </c>
      <c r="Q24" s="49">
        <v>0</v>
      </c>
      <c r="R24" s="49">
        <v>0</v>
      </c>
      <c r="S24" s="49">
        <v>289</v>
      </c>
      <c r="T24" s="49">
        <v>0</v>
      </c>
      <c r="U24" s="49">
        <v>0</v>
      </c>
      <c r="V24" s="49">
        <v>0</v>
      </c>
      <c r="W24" s="49">
        <v>0</v>
      </c>
      <c r="X24" s="49">
        <v>59</v>
      </c>
      <c r="Y24" s="49">
        <v>3</v>
      </c>
      <c r="Z24" s="49">
        <v>0</v>
      </c>
      <c r="AA24" s="49">
        <v>62</v>
      </c>
      <c r="AB24" s="49">
        <v>175</v>
      </c>
      <c r="AC24" s="49">
        <v>7</v>
      </c>
      <c r="AD24" s="49">
        <v>0</v>
      </c>
      <c r="AE24" s="49">
        <v>182</v>
      </c>
      <c r="AF24" s="49">
        <v>60</v>
      </c>
      <c r="AG24" s="49">
        <v>2</v>
      </c>
      <c r="AH24" s="49">
        <v>0</v>
      </c>
      <c r="AI24" s="49">
        <v>62</v>
      </c>
      <c r="AJ24" s="49">
        <v>306</v>
      </c>
      <c r="AK24" s="49">
        <v>0</v>
      </c>
      <c r="AL24" s="49">
        <v>0</v>
      </c>
      <c r="AM24" s="49">
        <v>0</v>
      </c>
      <c r="AN24" s="49">
        <v>0</v>
      </c>
      <c r="AO24" s="49">
        <v>63</v>
      </c>
      <c r="AP24" s="49">
        <v>14</v>
      </c>
      <c r="AQ24" s="49">
        <v>0</v>
      </c>
      <c r="AR24" s="49">
        <v>77</v>
      </c>
      <c r="AS24" s="49">
        <v>333</v>
      </c>
      <c r="AT24" s="49">
        <v>8</v>
      </c>
      <c r="AU24" s="49">
        <v>0</v>
      </c>
      <c r="AV24" s="49">
        <v>341</v>
      </c>
      <c r="AW24" s="49">
        <v>55</v>
      </c>
      <c r="AX24" s="49">
        <v>2</v>
      </c>
      <c r="AY24" s="49">
        <v>0</v>
      </c>
      <c r="AZ24" s="49">
        <v>57</v>
      </c>
      <c r="BA24" s="49">
        <v>475</v>
      </c>
      <c r="BB24" s="49">
        <v>0</v>
      </c>
      <c r="BC24" s="49">
        <v>0</v>
      </c>
      <c r="BD24" s="49">
        <v>0</v>
      </c>
      <c r="BE24" s="49">
        <v>0</v>
      </c>
      <c r="BF24" s="49">
        <v>18</v>
      </c>
      <c r="BG24" s="49">
        <v>2</v>
      </c>
      <c r="BH24" s="49">
        <v>0</v>
      </c>
      <c r="BI24" s="49">
        <v>20</v>
      </c>
      <c r="BJ24" s="49">
        <v>160</v>
      </c>
      <c r="BK24" s="49">
        <v>7</v>
      </c>
      <c r="BL24" s="49">
        <v>0</v>
      </c>
      <c r="BM24" s="49">
        <v>167</v>
      </c>
      <c r="BN24" s="49">
        <v>105</v>
      </c>
      <c r="BO24" s="49">
        <v>6</v>
      </c>
      <c r="BP24" s="49">
        <v>0</v>
      </c>
      <c r="BQ24" s="49">
        <v>111</v>
      </c>
      <c r="BR24" s="49">
        <v>298</v>
      </c>
      <c r="BS24" s="49">
        <v>1368</v>
      </c>
    </row>
    <row r="25" spans="2:71" x14ac:dyDescent="0.25">
      <c r="B25" s="11">
        <v>0.67708333333333337</v>
      </c>
      <c r="C25" s="49">
        <v>25</v>
      </c>
      <c r="D25" s="49">
        <v>1</v>
      </c>
      <c r="E25" s="49">
        <v>0</v>
      </c>
      <c r="F25" s="49">
        <v>26</v>
      </c>
      <c r="G25" s="49">
        <v>262</v>
      </c>
      <c r="H25" s="49">
        <v>11</v>
      </c>
      <c r="I25" s="49">
        <v>0</v>
      </c>
      <c r="J25" s="49">
        <v>273</v>
      </c>
      <c r="K25" s="49">
        <v>12</v>
      </c>
      <c r="L25" s="49">
        <v>0</v>
      </c>
      <c r="M25" s="49">
        <v>0</v>
      </c>
      <c r="N25" s="49">
        <v>12</v>
      </c>
      <c r="O25" s="49">
        <v>2</v>
      </c>
      <c r="P25" s="49">
        <v>0</v>
      </c>
      <c r="Q25" s="49">
        <v>0</v>
      </c>
      <c r="R25" s="49">
        <v>2</v>
      </c>
      <c r="S25" s="49">
        <v>313</v>
      </c>
      <c r="T25" s="49">
        <v>0</v>
      </c>
      <c r="U25" s="49">
        <v>0</v>
      </c>
      <c r="V25" s="49">
        <v>0</v>
      </c>
      <c r="W25" s="49">
        <v>0</v>
      </c>
      <c r="X25" s="49">
        <v>72</v>
      </c>
      <c r="Y25" s="49">
        <v>3</v>
      </c>
      <c r="Z25" s="49">
        <v>0</v>
      </c>
      <c r="AA25" s="49">
        <v>75</v>
      </c>
      <c r="AB25" s="49">
        <v>195</v>
      </c>
      <c r="AC25" s="49">
        <v>6</v>
      </c>
      <c r="AD25" s="49">
        <v>0</v>
      </c>
      <c r="AE25" s="49">
        <v>201</v>
      </c>
      <c r="AF25" s="49">
        <v>65</v>
      </c>
      <c r="AG25" s="49">
        <v>0</v>
      </c>
      <c r="AH25" s="49">
        <v>0</v>
      </c>
      <c r="AI25" s="49">
        <v>65</v>
      </c>
      <c r="AJ25" s="49">
        <v>341</v>
      </c>
      <c r="AK25" s="49">
        <v>0</v>
      </c>
      <c r="AL25" s="49">
        <v>0</v>
      </c>
      <c r="AM25" s="49">
        <v>0</v>
      </c>
      <c r="AN25" s="49">
        <v>0</v>
      </c>
      <c r="AO25" s="49">
        <v>102</v>
      </c>
      <c r="AP25" s="49">
        <v>6</v>
      </c>
      <c r="AQ25" s="49">
        <v>0</v>
      </c>
      <c r="AR25" s="49">
        <v>108</v>
      </c>
      <c r="AS25" s="49">
        <v>307</v>
      </c>
      <c r="AT25" s="49">
        <v>10</v>
      </c>
      <c r="AU25" s="49">
        <v>0</v>
      </c>
      <c r="AV25" s="49">
        <v>317</v>
      </c>
      <c r="AW25" s="49">
        <v>57</v>
      </c>
      <c r="AX25" s="49">
        <v>1</v>
      </c>
      <c r="AY25" s="49">
        <v>0</v>
      </c>
      <c r="AZ25" s="49">
        <v>58</v>
      </c>
      <c r="BA25" s="49">
        <v>483</v>
      </c>
      <c r="BB25" s="49">
        <v>0</v>
      </c>
      <c r="BC25" s="49">
        <v>0</v>
      </c>
      <c r="BD25" s="49">
        <v>0</v>
      </c>
      <c r="BE25" s="49">
        <v>0</v>
      </c>
      <c r="BF25" s="49">
        <v>21</v>
      </c>
      <c r="BG25" s="49">
        <v>0</v>
      </c>
      <c r="BH25" s="49">
        <v>0</v>
      </c>
      <c r="BI25" s="49">
        <v>21</v>
      </c>
      <c r="BJ25" s="49">
        <v>156</v>
      </c>
      <c r="BK25" s="49">
        <v>11</v>
      </c>
      <c r="BL25" s="49">
        <v>0</v>
      </c>
      <c r="BM25" s="49">
        <v>167</v>
      </c>
      <c r="BN25" s="49">
        <v>117</v>
      </c>
      <c r="BO25" s="49">
        <v>4</v>
      </c>
      <c r="BP25" s="49">
        <v>0</v>
      </c>
      <c r="BQ25" s="49">
        <v>121</v>
      </c>
      <c r="BR25" s="49">
        <v>309</v>
      </c>
      <c r="BS25" s="49">
        <v>1446</v>
      </c>
    </row>
    <row r="26" spans="2:71" x14ac:dyDescent="0.25">
      <c r="B26" s="11">
        <v>0.6875</v>
      </c>
      <c r="C26" s="49">
        <v>29</v>
      </c>
      <c r="D26" s="49">
        <v>3</v>
      </c>
      <c r="E26" s="49">
        <v>0</v>
      </c>
      <c r="F26" s="49">
        <v>32</v>
      </c>
      <c r="G26" s="49">
        <v>204</v>
      </c>
      <c r="H26" s="49">
        <v>6</v>
      </c>
      <c r="I26" s="49">
        <v>0</v>
      </c>
      <c r="J26" s="49">
        <v>210</v>
      </c>
      <c r="K26" s="49">
        <v>13</v>
      </c>
      <c r="L26" s="49">
        <v>3</v>
      </c>
      <c r="M26" s="49">
        <v>0</v>
      </c>
      <c r="N26" s="49">
        <v>16</v>
      </c>
      <c r="O26" s="49">
        <v>0</v>
      </c>
      <c r="P26" s="49">
        <v>0</v>
      </c>
      <c r="Q26" s="49">
        <v>0</v>
      </c>
      <c r="R26" s="49">
        <v>0</v>
      </c>
      <c r="S26" s="49">
        <v>258</v>
      </c>
      <c r="T26" s="49">
        <v>1</v>
      </c>
      <c r="U26" s="49">
        <v>0</v>
      </c>
      <c r="V26" s="49">
        <v>0</v>
      </c>
      <c r="W26" s="49">
        <v>1</v>
      </c>
      <c r="X26" s="49">
        <v>78</v>
      </c>
      <c r="Y26" s="49">
        <v>4</v>
      </c>
      <c r="Z26" s="49">
        <v>0</v>
      </c>
      <c r="AA26" s="49">
        <v>82</v>
      </c>
      <c r="AB26" s="49">
        <v>171</v>
      </c>
      <c r="AC26" s="49">
        <v>8</v>
      </c>
      <c r="AD26" s="49">
        <v>0</v>
      </c>
      <c r="AE26" s="49">
        <v>179</v>
      </c>
      <c r="AF26" s="49">
        <v>59</v>
      </c>
      <c r="AG26" s="49">
        <v>0</v>
      </c>
      <c r="AH26" s="49">
        <v>0</v>
      </c>
      <c r="AI26" s="49">
        <v>59</v>
      </c>
      <c r="AJ26" s="49">
        <v>321</v>
      </c>
      <c r="AK26" s="49">
        <v>0</v>
      </c>
      <c r="AL26" s="49">
        <v>0</v>
      </c>
      <c r="AM26" s="49">
        <v>0</v>
      </c>
      <c r="AN26" s="49">
        <v>0</v>
      </c>
      <c r="AO26" s="49">
        <v>78</v>
      </c>
      <c r="AP26" s="49">
        <v>9</v>
      </c>
      <c r="AQ26" s="49">
        <v>0</v>
      </c>
      <c r="AR26" s="49">
        <v>87</v>
      </c>
      <c r="AS26" s="49">
        <v>301</v>
      </c>
      <c r="AT26" s="49">
        <v>12</v>
      </c>
      <c r="AU26" s="49">
        <v>0</v>
      </c>
      <c r="AV26" s="49">
        <v>313</v>
      </c>
      <c r="AW26" s="49">
        <v>63</v>
      </c>
      <c r="AX26" s="49">
        <v>0</v>
      </c>
      <c r="AY26" s="49">
        <v>0</v>
      </c>
      <c r="AZ26" s="49">
        <v>63</v>
      </c>
      <c r="BA26" s="49">
        <v>463</v>
      </c>
      <c r="BB26" s="49">
        <v>0</v>
      </c>
      <c r="BC26" s="49">
        <v>0</v>
      </c>
      <c r="BD26" s="49">
        <v>0</v>
      </c>
      <c r="BE26" s="49">
        <v>0</v>
      </c>
      <c r="BF26" s="49">
        <v>30</v>
      </c>
      <c r="BG26" s="49">
        <v>0</v>
      </c>
      <c r="BH26" s="49">
        <v>0</v>
      </c>
      <c r="BI26" s="49">
        <v>30</v>
      </c>
      <c r="BJ26" s="49">
        <v>182</v>
      </c>
      <c r="BK26" s="49">
        <v>3</v>
      </c>
      <c r="BL26" s="49">
        <v>0</v>
      </c>
      <c r="BM26" s="49">
        <v>185</v>
      </c>
      <c r="BN26" s="49">
        <v>113</v>
      </c>
      <c r="BO26" s="49">
        <v>6</v>
      </c>
      <c r="BP26" s="49">
        <v>0</v>
      </c>
      <c r="BQ26" s="49">
        <v>119</v>
      </c>
      <c r="BR26" s="49">
        <v>334</v>
      </c>
      <c r="BS26" s="49">
        <v>1376</v>
      </c>
    </row>
    <row r="27" spans="2:71" x14ac:dyDescent="0.25">
      <c r="B27" s="11">
        <v>0.69791666666666663</v>
      </c>
      <c r="C27" s="49">
        <v>20</v>
      </c>
      <c r="D27" s="49">
        <v>2</v>
      </c>
      <c r="E27" s="49">
        <v>0</v>
      </c>
      <c r="F27" s="49">
        <v>22</v>
      </c>
      <c r="G27" s="49">
        <v>267</v>
      </c>
      <c r="H27" s="49">
        <v>4</v>
      </c>
      <c r="I27" s="49">
        <v>0</v>
      </c>
      <c r="J27" s="49">
        <v>271</v>
      </c>
      <c r="K27" s="49">
        <v>9</v>
      </c>
      <c r="L27" s="49">
        <v>1</v>
      </c>
      <c r="M27" s="49">
        <v>0</v>
      </c>
      <c r="N27" s="49">
        <v>10</v>
      </c>
      <c r="O27" s="49">
        <v>0</v>
      </c>
      <c r="P27" s="49">
        <v>0</v>
      </c>
      <c r="Q27" s="49">
        <v>0</v>
      </c>
      <c r="R27" s="49">
        <v>0</v>
      </c>
      <c r="S27" s="49">
        <v>303</v>
      </c>
      <c r="T27" s="49">
        <v>0</v>
      </c>
      <c r="U27" s="49">
        <v>0</v>
      </c>
      <c r="V27" s="49">
        <v>0</v>
      </c>
      <c r="W27" s="49">
        <v>0</v>
      </c>
      <c r="X27" s="49">
        <v>71</v>
      </c>
      <c r="Y27" s="49">
        <v>2</v>
      </c>
      <c r="Z27" s="49">
        <v>0</v>
      </c>
      <c r="AA27" s="49">
        <v>73</v>
      </c>
      <c r="AB27" s="49">
        <v>217</v>
      </c>
      <c r="AC27" s="49">
        <v>6</v>
      </c>
      <c r="AD27" s="49">
        <v>0</v>
      </c>
      <c r="AE27" s="49">
        <v>223</v>
      </c>
      <c r="AF27" s="49">
        <v>57</v>
      </c>
      <c r="AG27" s="49">
        <v>2</v>
      </c>
      <c r="AH27" s="49">
        <v>0</v>
      </c>
      <c r="AI27" s="49">
        <v>59</v>
      </c>
      <c r="AJ27" s="49">
        <v>355</v>
      </c>
      <c r="AK27" s="49">
        <v>0</v>
      </c>
      <c r="AL27" s="49">
        <v>0</v>
      </c>
      <c r="AM27" s="49">
        <v>0</v>
      </c>
      <c r="AN27" s="49">
        <v>0</v>
      </c>
      <c r="AO27" s="49">
        <v>72</v>
      </c>
      <c r="AP27" s="49">
        <v>4</v>
      </c>
      <c r="AQ27" s="49">
        <v>0</v>
      </c>
      <c r="AR27" s="49">
        <v>76</v>
      </c>
      <c r="AS27" s="49">
        <v>294</v>
      </c>
      <c r="AT27" s="49">
        <v>8</v>
      </c>
      <c r="AU27" s="49">
        <v>0</v>
      </c>
      <c r="AV27" s="49">
        <v>302</v>
      </c>
      <c r="AW27" s="49">
        <v>44</v>
      </c>
      <c r="AX27" s="49">
        <v>1</v>
      </c>
      <c r="AY27" s="49">
        <v>0</v>
      </c>
      <c r="AZ27" s="49">
        <v>45</v>
      </c>
      <c r="BA27" s="49">
        <v>423</v>
      </c>
      <c r="BB27" s="49">
        <v>0</v>
      </c>
      <c r="BC27" s="49">
        <v>0</v>
      </c>
      <c r="BD27" s="49">
        <v>0</v>
      </c>
      <c r="BE27" s="49">
        <v>0</v>
      </c>
      <c r="BF27" s="49">
        <v>20</v>
      </c>
      <c r="BG27" s="49">
        <v>2</v>
      </c>
      <c r="BH27" s="49">
        <v>0</v>
      </c>
      <c r="BI27" s="49">
        <v>22</v>
      </c>
      <c r="BJ27" s="49">
        <v>205</v>
      </c>
      <c r="BK27" s="49">
        <v>2</v>
      </c>
      <c r="BL27" s="49">
        <v>0</v>
      </c>
      <c r="BM27" s="49">
        <v>207</v>
      </c>
      <c r="BN27" s="49">
        <v>120</v>
      </c>
      <c r="BO27" s="49">
        <v>3</v>
      </c>
      <c r="BP27" s="49">
        <v>0</v>
      </c>
      <c r="BQ27" s="49">
        <v>123</v>
      </c>
      <c r="BR27" s="49">
        <v>352</v>
      </c>
      <c r="BS27" s="49">
        <v>1433</v>
      </c>
    </row>
    <row r="28" spans="2:71" x14ac:dyDescent="0.25">
      <c r="B28" s="11">
        <v>0.70833333333333337</v>
      </c>
      <c r="C28" s="49">
        <v>29</v>
      </c>
      <c r="D28" s="49">
        <v>0</v>
      </c>
      <c r="E28" s="49">
        <v>0</v>
      </c>
      <c r="F28" s="49">
        <v>29</v>
      </c>
      <c r="G28" s="49">
        <v>249</v>
      </c>
      <c r="H28" s="49">
        <v>6</v>
      </c>
      <c r="I28" s="49">
        <v>0</v>
      </c>
      <c r="J28" s="49">
        <v>255</v>
      </c>
      <c r="K28" s="49">
        <v>11</v>
      </c>
      <c r="L28" s="49">
        <v>0</v>
      </c>
      <c r="M28" s="49">
        <v>0</v>
      </c>
      <c r="N28" s="49">
        <v>11</v>
      </c>
      <c r="O28" s="49">
        <v>0</v>
      </c>
      <c r="P28" s="49">
        <v>0</v>
      </c>
      <c r="Q28" s="49">
        <v>0</v>
      </c>
      <c r="R28" s="49">
        <v>0</v>
      </c>
      <c r="S28" s="49">
        <v>295</v>
      </c>
      <c r="T28" s="49">
        <v>0</v>
      </c>
      <c r="U28" s="49">
        <v>0</v>
      </c>
      <c r="V28" s="49">
        <v>0</v>
      </c>
      <c r="W28" s="49">
        <v>0</v>
      </c>
      <c r="X28" s="49">
        <v>85</v>
      </c>
      <c r="Y28" s="49">
        <v>1</v>
      </c>
      <c r="Z28" s="49">
        <v>0</v>
      </c>
      <c r="AA28" s="49">
        <v>86</v>
      </c>
      <c r="AB28" s="49">
        <v>178</v>
      </c>
      <c r="AC28" s="49">
        <v>5</v>
      </c>
      <c r="AD28" s="49">
        <v>0</v>
      </c>
      <c r="AE28" s="49">
        <v>183</v>
      </c>
      <c r="AF28" s="49">
        <v>71</v>
      </c>
      <c r="AG28" s="49">
        <v>2</v>
      </c>
      <c r="AH28" s="49">
        <v>0</v>
      </c>
      <c r="AI28" s="49">
        <v>73</v>
      </c>
      <c r="AJ28" s="49">
        <v>342</v>
      </c>
      <c r="AK28" s="49">
        <v>0</v>
      </c>
      <c r="AL28" s="49">
        <v>0</v>
      </c>
      <c r="AM28" s="49">
        <v>0</v>
      </c>
      <c r="AN28" s="49">
        <v>0</v>
      </c>
      <c r="AO28" s="49">
        <v>69</v>
      </c>
      <c r="AP28" s="49">
        <v>8</v>
      </c>
      <c r="AQ28" s="49">
        <v>0</v>
      </c>
      <c r="AR28" s="49">
        <v>77</v>
      </c>
      <c r="AS28" s="49">
        <v>353</v>
      </c>
      <c r="AT28" s="49">
        <v>6</v>
      </c>
      <c r="AU28" s="49">
        <v>0</v>
      </c>
      <c r="AV28" s="49">
        <v>359</v>
      </c>
      <c r="AW28" s="49">
        <v>51</v>
      </c>
      <c r="AX28" s="49">
        <v>4</v>
      </c>
      <c r="AY28" s="49">
        <v>0</v>
      </c>
      <c r="AZ28" s="49">
        <v>55</v>
      </c>
      <c r="BA28" s="49">
        <v>491</v>
      </c>
      <c r="BB28" s="49">
        <v>0</v>
      </c>
      <c r="BC28" s="49">
        <v>0</v>
      </c>
      <c r="BD28" s="49">
        <v>0</v>
      </c>
      <c r="BE28" s="49">
        <v>0</v>
      </c>
      <c r="BF28" s="49">
        <v>21</v>
      </c>
      <c r="BG28" s="49">
        <v>1</v>
      </c>
      <c r="BH28" s="49">
        <v>0</v>
      </c>
      <c r="BI28" s="49">
        <v>22</v>
      </c>
      <c r="BJ28" s="49">
        <v>178</v>
      </c>
      <c r="BK28" s="49">
        <v>3</v>
      </c>
      <c r="BL28" s="49">
        <v>0</v>
      </c>
      <c r="BM28" s="49">
        <v>181</v>
      </c>
      <c r="BN28" s="49">
        <v>147</v>
      </c>
      <c r="BO28" s="49">
        <v>5</v>
      </c>
      <c r="BP28" s="49">
        <v>0</v>
      </c>
      <c r="BQ28" s="49">
        <v>152</v>
      </c>
      <c r="BR28" s="49">
        <v>355</v>
      </c>
      <c r="BS28" s="49">
        <v>1483</v>
      </c>
    </row>
    <row r="29" spans="2:71" x14ac:dyDescent="0.25">
      <c r="B29" s="11">
        <v>0.71875</v>
      </c>
      <c r="C29" s="49">
        <v>24</v>
      </c>
      <c r="D29" s="49">
        <v>1</v>
      </c>
      <c r="E29" s="49">
        <v>0</v>
      </c>
      <c r="F29" s="49">
        <v>25</v>
      </c>
      <c r="G29" s="49">
        <v>276</v>
      </c>
      <c r="H29" s="49">
        <v>3</v>
      </c>
      <c r="I29" s="49">
        <v>0</v>
      </c>
      <c r="J29" s="49">
        <v>279</v>
      </c>
      <c r="K29" s="49">
        <v>7</v>
      </c>
      <c r="L29" s="49">
        <v>1</v>
      </c>
      <c r="M29" s="49">
        <v>0</v>
      </c>
      <c r="N29" s="49">
        <v>8</v>
      </c>
      <c r="O29" s="49">
        <v>0</v>
      </c>
      <c r="P29" s="49">
        <v>0</v>
      </c>
      <c r="Q29" s="49">
        <v>0</v>
      </c>
      <c r="R29" s="49">
        <v>0</v>
      </c>
      <c r="S29" s="49">
        <v>312</v>
      </c>
      <c r="T29" s="49">
        <v>1</v>
      </c>
      <c r="U29" s="49">
        <v>0</v>
      </c>
      <c r="V29" s="49">
        <v>0</v>
      </c>
      <c r="W29" s="49">
        <v>1</v>
      </c>
      <c r="X29" s="49">
        <v>72</v>
      </c>
      <c r="Y29" s="49">
        <v>1</v>
      </c>
      <c r="Z29" s="49">
        <v>0</v>
      </c>
      <c r="AA29" s="49">
        <v>73</v>
      </c>
      <c r="AB29" s="49">
        <v>209</v>
      </c>
      <c r="AC29" s="49">
        <v>4</v>
      </c>
      <c r="AD29" s="49">
        <v>2</v>
      </c>
      <c r="AE29" s="49">
        <v>215</v>
      </c>
      <c r="AF29" s="49">
        <v>75</v>
      </c>
      <c r="AG29" s="49">
        <v>0</v>
      </c>
      <c r="AH29" s="49">
        <v>0</v>
      </c>
      <c r="AI29" s="49">
        <v>75</v>
      </c>
      <c r="AJ29" s="49">
        <v>364</v>
      </c>
      <c r="AK29" s="49">
        <v>0</v>
      </c>
      <c r="AL29" s="49">
        <v>0</v>
      </c>
      <c r="AM29" s="49">
        <v>0</v>
      </c>
      <c r="AN29" s="49">
        <v>0</v>
      </c>
      <c r="AO29" s="49">
        <v>60</v>
      </c>
      <c r="AP29" s="49">
        <v>8</v>
      </c>
      <c r="AQ29" s="49">
        <v>0</v>
      </c>
      <c r="AR29" s="49">
        <v>68</v>
      </c>
      <c r="AS29" s="49">
        <v>278</v>
      </c>
      <c r="AT29" s="49">
        <v>6</v>
      </c>
      <c r="AU29" s="49">
        <v>0</v>
      </c>
      <c r="AV29" s="49">
        <v>284</v>
      </c>
      <c r="AW29" s="49">
        <v>43</v>
      </c>
      <c r="AX29" s="49">
        <v>2</v>
      </c>
      <c r="AY29" s="49">
        <v>0</v>
      </c>
      <c r="AZ29" s="49">
        <v>45</v>
      </c>
      <c r="BA29" s="49">
        <v>397</v>
      </c>
      <c r="BB29" s="49">
        <v>0</v>
      </c>
      <c r="BC29" s="49">
        <v>0</v>
      </c>
      <c r="BD29" s="49">
        <v>0</v>
      </c>
      <c r="BE29" s="49">
        <v>0</v>
      </c>
      <c r="BF29" s="49">
        <v>18</v>
      </c>
      <c r="BG29" s="49">
        <v>1</v>
      </c>
      <c r="BH29" s="49">
        <v>0</v>
      </c>
      <c r="BI29" s="49">
        <v>19</v>
      </c>
      <c r="BJ29" s="49">
        <v>200</v>
      </c>
      <c r="BK29" s="49">
        <v>2</v>
      </c>
      <c r="BL29" s="49">
        <v>0</v>
      </c>
      <c r="BM29" s="49">
        <v>202</v>
      </c>
      <c r="BN29" s="49">
        <v>128</v>
      </c>
      <c r="BO29" s="49">
        <v>2</v>
      </c>
      <c r="BP29" s="49">
        <v>0</v>
      </c>
      <c r="BQ29" s="49">
        <v>130</v>
      </c>
      <c r="BR29" s="49">
        <v>351</v>
      </c>
      <c r="BS29" s="49">
        <v>1424</v>
      </c>
    </row>
    <row r="30" spans="2:71" x14ac:dyDescent="0.25">
      <c r="B30" s="11">
        <v>0.72916666666666663</v>
      </c>
      <c r="C30" s="49">
        <v>21</v>
      </c>
      <c r="D30" s="49">
        <v>1</v>
      </c>
      <c r="E30" s="49">
        <v>0</v>
      </c>
      <c r="F30" s="49">
        <v>22</v>
      </c>
      <c r="G30" s="49">
        <v>250</v>
      </c>
      <c r="H30" s="49">
        <v>5</v>
      </c>
      <c r="I30" s="49">
        <v>0</v>
      </c>
      <c r="J30" s="49">
        <v>255</v>
      </c>
      <c r="K30" s="49">
        <v>8</v>
      </c>
      <c r="L30" s="49">
        <v>0</v>
      </c>
      <c r="M30" s="49">
        <v>0</v>
      </c>
      <c r="N30" s="49">
        <v>8</v>
      </c>
      <c r="O30" s="49">
        <v>0</v>
      </c>
      <c r="P30" s="49">
        <v>0</v>
      </c>
      <c r="Q30" s="49">
        <v>0</v>
      </c>
      <c r="R30" s="49">
        <v>0</v>
      </c>
      <c r="S30" s="49">
        <v>285</v>
      </c>
      <c r="T30" s="49">
        <v>0</v>
      </c>
      <c r="U30" s="49">
        <v>0</v>
      </c>
      <c r="V30" s="49">
        <v>0</v>
      </c>
      <c r="W30" s="49">
        <v>0</v>
      </c>
      <c r="X30" s="49">
        <v>68</v>
      </c>
      <c r="Y30" s="49">
        <v>2</v>
      </c>
      <c r="Z30" s="49">
        <v>0</v>
      </c>
      <c r="AA30" s="49">
        <v>70</v>
      </c>
      <c r="AB30" s="49">
        <v>170</v>
      </c>
      <c r="AC30" s="49">
        <v>4</v>
      </c>
      <c r="AD30" s="49">
        <v>1</v>
      </c>
      <c r="AE30" s="49">
        <v>175</v>
      </c>
      <c r="AF30" s="49">
        <v>55</v>
      </c>
      <c r="AG30" s="49">
        <v>2</v>
      </c>
      <c r="AH30" s="49">
        <v>0</v>
      </c>
      <c r="AI30" s="49">
        <v>57</v>
      </c>
      <c r="AJ30" s="49">
        <v>302</v>
      </c>
      <c r="AK30" s="49">
        <v>0</v>
      </c>
      <c r="AL30" s="49">
        <v>0</v>
      </c>
      <c r="AM30" s="49">
        <v>0</v>
      </c>
      <c r="AN30" s="49">
        <v>0</v>
      </c>
      <c r="AO30" s="49">
        <v>67</v>
      </c>
      <c r="AP30" s="49">
        <v>6</v>
      </c>
      <c r="AQ30" s="49">
        <v>0</v>
      </c>
      <c r="AR30" s="49">
        <v>73</v>
      </c>
      <c r="AS30" s="49">
        <v>305</v>
      </c>
      <c r="AT30" s="49">
        <v>5</v>
      </c>
      <c r="AU30" s="49">
        <v>0</v>
      </c>
      <c r="AV30" s="49">
        <v>310</v>
      </c>
      <c r="AW30" s="49">
        <v>43</v>
      </c>
      <c r="AX30" s="49">
        <v>1</v>
      </c>
      <c r="AY30" s="49">
        <v>0</v>
      </c>
      <c r="AZ30" s="49">
        <v>44</v>
      </c>
      <c r="BA30" s="49">
        <v>427</v>
      </c>
      <c r="BB30" s="49">
        <v>0</v>
      </c>
      <c r="BC30" s="49">
        <v>0</v>
      </c>
      <c r="BD30" s="49">
        <v>0</v>
      </c>
      <c r="BE30" s="49">
        <v>0</v>
      </c>
      <c r="BF30" s="49">
        <v>6</v>
      </c>
      <c r="BG30" s="49">
        <v>0</v>
      </c>
      <c r="BH30" s="49">
        <v>0</v>
      </c>
      <c r="BI30" s="49">
        <v>6</v>
      </c>
      <c r="BJ30" s="49">
        <v>129</v>
      </c>
      <c r="BK30" s="49">
        <v>3</v>
      </c>
      <c r="BL30" s="49">
        <v>0</v>
      </c>
      <c r="BM30" s="49">
        <v>132</v>
      </c>
      <c r="BN30" s="49">
        <v>87</v>
      </c>
      <c r="BO30" s="49">
        <v>1</v>
      </c>
      <c r="BP30" s="49">
        <v>0</v>
      </c>
      <c r="BQ30" s="49">
        <v>88</v>
      </c>
      <c r="BR30" s="49">
        <v>226</v>
      </c>
      <c r="BS30" s="49">
        <v>1240</v>
      </c>
    </row>
    <row r="31" spans="2:71" x14ac:dyDescent="0.25">
      <c r="B31" s="11">
        <v>0.73958333333333337</v>
      </c>
      <c r="C31" s="49">
        <v>19</v>
      </c>
      <c r="D31" s="49">
        <v>0</v>
      </c>
      <c r="E31" s="49">
        <v>0</v>
      </c>
      <c r="F31" s="49">
        <v>19</v>
      </c>
      <c r="G31" s="49">
        <v>220</v>
      </c>
      <c r="H31" s="49">
        <v>1</v>
      </c>
      <c r="I31" s="49">
        <v>0</v>
      </c>
      <c r="J31" s="49">
        <v>221</v>
      </c>
      <c r="K31" s="49">
        <v>12</v>
      </c>
      <c r="L31" s="49">
        <v>1</v>
      </c>
      <c r="M31" s="49">
        <v>0</v>
      </c>
      <c r="N31" s="49">
        <v>13</v>
      </c>
      <c r="O31" s="49">
        <v>0</v>
      </c>
      <c r="P31" s="49">
        <v>0</v>
      </c>
      <c r="Q31" s="49">
        <v>0</v>
      </c>
      <c r="R31" s="49">
        <v>0</v>
      </c>
      <c r="S31" s="49">
        <v>253</v>
      </c>
      <c r="T31" s="49">
        <v>0</v>
      </c>
      <c r="U31" s="49">
        <v>0</v>
      </c>
      <c r="V31" s="49">
        <v>0</v>
      </c>
      <c r="W31" s="49">
        <v>0</v>
      </c>
      <c r="X31" s="49">
        <v>62</v>
      </c>
      <c r="Y31" s="49">
        <v>1</v>
      </c>
      <c r="Z31" s="49">
        <v>0</v>
      </c>
      <c r="AA31" s="49">
        <v>63</v>
      </c>
      <c r="AB31" s="49">
        <v>194</v>
      </c>
      <c r="AC31" s="49">
        <v>6</v>
      </c>
      <c r="AD31" s="49">
        <v>0</v>
      </c>
      <c r="AE31" s="49">
        <v>200</v>
      </c>
      <c r="AF31" s="49">
        <v>55</v>
      </c>
      <c r="AG31" s="49">
        <v>0</v>
      </c>
      <c r="AH31" s="49">
        <v>0</v>
      </c>
      <c r="AI31" s="49">
        <v>55</v>
      </c>
      <c r="AJ31" s="49">
        <v>318</v>
      </c>
      <c r="AK31" s="49">
        <v>0</v>
      </c>
      <c r="AL31" s="49">
        <v>0</v>
      </c>
      <c r="AM31" s="49">
        <v>0</v>
      </c>
      <c r="AN31" s="49">
        <v>0</v>
      </c>
      <c r="AO31" s="49">
        <v>63</v>
      </c>
      <c r="AP31" s="49">
        <v>3</v>
      </c>
      <c r="AQ31" s="49">
        <v>0</v>
      </c>
      <c r="AR31" s="49">
        <v>66</v>
      </c>
      <c r="AS31" s="49">
        <v>253</v>
      </c>
      <c r="AT31" s="49">
        <v>3</v>
      </c>
      <c r="AU31" s="49">
        <v>0</v>
      </c>
      <c r="AV31" s="49">
        <v>256</v>
      </c>
      <c r="AW31" s="49">
        <v>49</v>
      </c>
      <c r="AX31" s="49">
        <v>1</v>
      </c>
      <c r="AY31" s="49">
        <v>0</v>
      </c>
      <c r="AZ31" s="49">
        <v>50</v>
      </c>
      <c r="BA31" s="49">
        <v>372</v>
      </c>
      <c r="BB31" s="49">
        <v>0</v>
      </c>
      <c r="BC31" s="49">
        <v>0</v>
      </c>
      <c r="BD31" s="49">
        <v>0</v>
      </c>
      <c r="BE31" s="49">
        <v>0</v>
      </c>
      <c r="BF31" s="49">
        <v>4</v>
      </c>
      <c r="BG31" s="49">
        <v>1</v>
      </c>
      <c r="BH31" s="49">
        <v>0</v>
      </c>
      <c r="BI31" s="49">
        <v>5</v>
      </c>
      <c r="BJ31" s="49">
        <v>96</v>
      </c>
      <c r="BK31" s="49">
        <v>3</v>
      </c>
      <c r="BL31" s="49">
        <v>0</v>
      </c>
      <c r="BM31" s="49">
        <v>99</v>
      </c>
      <c r="BN31" s="49">
        <v>65</v>
      </c>
      <c r="BO31" s="49">
        <v>4</v>
      </c>
      <c r="BP31" s="49">
        <v>0</v>
      </c>
      <c r="BQ31" s="49">
        <v>69</v>
      </c>
      <c r="BR31" s="49">
        <v>173</v>
      </c>
      <c r="BS31" s="49">
        <v>1116</v>
      </c>
    </row>
    <row r="32" spans="2:71" x14ac:dyDescent="0.25">
      <c r="B32" s="10" t="s">
        <v>90</v>
      </c>
      <c r="C32" s="49">
        <v>112</v>
      </c>
      <c r="D32" s="49">
        <v>10</v>
      </c>
      <c r="E32" s="49">
        <v>0</v>
      </c>
      <c r="F32" s="49">
        <v>122</v>
      </c>
      <c r="G32" s="49">
        <v>893</v>
      </c>
      <c r="H32" s="49">
        <v>45</v>
      </c>
      <c r="I32" s="49">
        <v>0</v>
      </c>
      <c r="J32" s="49">
        <v>938</v>
      </c>
      <c r="K32" s="49">
        <v>59</v>
      </c>
      <c r="L32" s="49">
        <v>4</v>
      </c>
      <c r="M32" s="49">
        <v>0</v>
      </c>
      <c r="N32" s="49">
        <v>63</v>
      </c>
      <c r="O32" s="49">
        <v>0</v>
      </c>
      <c r="P32" s="49">
        <v>0</v>
      </c>
      <c r="Q32" s="49">
        <v>0</v>
      </c>
      <c r="R32" s="49">
        <v>0</v>
      </c>
      <c r="S32" s="49">
        <v>1123</v>
      </c>
      <c r="T32" s="49">
        <v>0</v>
      </c>
      <c r="U32" s="49">
        <v>0</v>
      </c>
      <c r="V32" s="49">
        <v>0</v>
      </c>
      <c r="W32" s="49">
        <v>0</v>
      </c>
      <c r="X32" s="49">
        <v>322</v>
      </c>
      <c r="Y32" s="49">
        <v>8</v>
      </c>
      <c r="Z32" s="49">
        <v>0</v>
      </c>
      <c r="AA32" s="49">
        <v>330</v>
      </c>
      <c r="AB32" s="49">
        <v>772</v>
      </c>
      <c r="AC32" s="49">
        <v>41</v>
      </c>
      <c r="AD32" s="49">
        <v>0</v>
      </c>
      <c r="AE32" s="49">
        <v>813</v>
      </c>
      <c r="AF32" s="49">
        <v>206</v>
      </c>
      <c r="AG32" s="49">
        <v>7</v>
      </c>
      <c r="AH32" s="49">
        <v>0</v>
      </c>
      <c r="AI32" s="49">
        <v>213</v>
      </c>
      <c r="AJ32" s="49">
        <v>1356</v>
      </c>
      <c r="AK32" s="49">
        <v>2</v>
      </c>
      <c r="AL32" s="49">
        <v>0</v>
      </c>
      <c r="AM32" s="49">
        <v>0</v>
      </c>
      <c r="AN32" s="49">
        <v>2</v>
      </c>
      <c r="AO32" s="49">
        <v>335</v>
      </c>
      <c r="AP32" s="49">
        <v>38</v>
      </c>
      <c r="AQ32" s="49">
        <v>0</v>
      </c>
      <c r="AR32" s="49">
        <v>373</v>
      </c>
      <c r="AS32" s="49">
        <v>957</v>
      </c>
      <c r="AT32" s="49">
        <v>42</v>
      </c>
      <c r="AU32" s="49">
        <v>0</v>
      </c>
      <c r="AV32" s="49">
        <v>999</v>
      </c>
      <c r="AW32" s="49">
        <v>227</v>
      </c>
      <c r="AX32" s="49">
        <v>4</v>
      </c>
      <c r="AY32" s="49">
        <v>0</v>
      </c>
      <c r="AZ32" s="49">
        <v>231</v>
      </c>
      <c r="BA32" s="49">
        <v>1605</v>
      </c>
      <c r="BB32" s="49">
        <v>2</v>
      </c>
      <c r="BC32" s="49">
        <v>0</v>
      </c>
      <c r="BD32" s="49">
        <v>0</v>
      </c>
      <c r="BE32" s="49">
        <v>2</v>
      </c>
      <c r="BF32" s="49">
        <v>67</v>
      </c>
      <c r="BG32" s="49">
        <v>2</v>
      </c>
      <c r="BH32" s="49">
        <v>0</v>
      </c>
      <c r="BI32" s="49">
        <v>69</v>
      </c>
      <c r="BJ32" s="49">
        <v>660</v>
      </c>
      <c r="BK32" s="49">
        <v>28</v>
      </c>
      <c r="BL32" s="49">
        <v>0</v>
      </c>
      <c r="BM32" s="49">
        <v>688</v>
      </c>
      <c r="BN32" s="49">
        <v>327</v>
      </c>
      <c r="BO32" s="49">
        <v>29</v>
      </c>
      <c r="BP32" s="49">
        <v>0</v>
      </c>
      <c r="BQ32" s="49">
        <v>356</v>
      </c>
      <c r="BR32" s="49">
        <v>1115</v>
      </c>
      <c r="BS32" s="49">
        <v>5199</v>
      </c>
    </row>
    <row r="33" spans="2:71" x14ac:dyDescent="0.25">
      <c r="B33" s="11">
        <v>0.54166666666666663</v>
      </c>
      <c r="C33" s="49">
        <v>30</v>
      </c>
      <c r="D33" s="49">
        <v>3</v>
      </c>
      <c r="E33" s="49">
        <v>0</v>
      </c>
      <c r="F33" s="49">
        <v>33</v>
      </c>
      <c r="G33" s="49">
        <v>221</v>
      </c>
      <c r="H33" s="49">
        <v>8</v>
      </c>
      <c r="I33" s="49">
        <v>0</v>
      </c>
      <c r="J33" s="49">
        <v>229</v>
      </c>
      <c r="K33" s="49">
        <v>19</v>
      </c>
      <c r="L33" s="49">
        <v>1</v>
      </c>
      <c r="M33" s="49">
        <v>0</v>
      </c>
      <c r="N33" s="49">
        <v>20</v>
      </c>
      <c r="O33" s="49">
        <v>0</v>
      </c>
      <c r="P33" s="49">
        <v>0</v>
      </c>
      <c r="Q33" s="49">
        <v>0</v>
      </c>
      <c r="R33" s="49">
        <v>0</v>
      </c>
      <c r="S33" s="49">
        <v>282</v>
      </c>
      <c r="T33" s="49">
        <v>0</v>
      </c>
      <c r="U33" s="49">
        <v>0</v>
      </c>
      <c r="V33" s="49">
        <v>0</v>
      </c>
      <c r="W33" s="49">
        <v>0</v>
      </c>
      <c r="X33" s="49">
        <v>66</v>
      </c>
      <c r="Y33" s="49">
        <v>2</v>
      </c>
      <c r="Z33" s="49">
        <v>0</v>
      </c>
      <c r="AA33" s="49">
        <v>68</v>
      </c>
      <c r="AB33" s="49">
        <v>176</v>
      </c>
      <c r="AC33" s="49">
        <v>11</v>
      </c>
      <c r="AD33" s="49">
        <v>0</v>
      </c>
      <c r="AE33" s="49">
        <v>187</v>
      </c>
      <c r="AF33" s="49">
        <v>43</v>
      </c>
      <c r="AG33" s="49">
        <v>5</v>
      </c>
      <c r="AH33" s="49">
        <v>0</v>
      </c>
      <c r="AI33" s="49">
        <v>48</v>
      </c>
      <c r="AJ33" s="49">
        <v>303</v>
      </c>
      <c r="AK33" s="49">
        <v>0</v>
      </c>
      <c r="AL33" s="49">
        <v>0</v>
      </c>
      <c r="AM33" s="49">
        <v>0</v>
      </c>
      <c r="AN33" s="49">
        <v>0</v>
      </c>
      <c r="AO33" s="49">
        <v>83</v>
      </c>
      <c r="AP33" s="49">
        <v>12</v>
      </c>
      <c r="AQ33" s="49">
        <v>0</v>
      </c>
      <c r="AR33" s="49">
        <v>95</v>
      </c>
      <c r="AS33" s="49">
        <v>240</v>
      </c>
      <c r="AT33" s="49">
        <v>8</v>
      </c>
      <c r="AU33" s="49">
        <v>0</v>
      </c>
      <c r="AV33" s="49">
        <v>248</v>
      </c>
      <c r="AW33" s="49">
        <v>59</v>
      </c>
      <c r="AX33" s="49">
        <v>2</v>
      </c>
      <c r="AY33" s="49">
        <v>0</v>
      </c>
      <c r="AZ33" s="49">
        <v>61</v>
      </c>
      <c r="BA33" s="49">
        <v>404</v>
      </c>
      <c r="BB33" s="49">
        <v>0</v>
      </c>
      <c r="BC33" s="49">
        <v>0</v>
      </c>
      <c r="BD33" s="49">
        <v>0</v>
      </c>
      <c r="BE33" s="49">
        <v>0</v>
      </c>
      <c r="BF33" s="49">
        <v>17</v>
      </c>
      <c r="BG33" s="49">
        <v>0</v>
      </c>
      <c r="BH33" s="49">
        <v>0</v>
      </c>
      <c r="BI33" s="49">
        <v>17</v>
      </c>
      <c r="BJ33" s="49">
        <v>166</v>
      </c>
      <c r="BK33" s="49">
        <v>5</v>
      </c>
      <c r="BL33" s="49">
        <v>0</v>
      </c>
      <c r="BM33" s="49">
        <v>171</v>
      </c>
      <c r="BN33" s="49">
        <v>84</v>
      </c>
      <c r="BO33" s="49">
        <v>4</v>
      </c>
      <c r="BP33" s="49">
        <v>0</v>
      </c>
      <c r="BQ33" s="49">
        <v>88</v>
      </c>
      <c r="BR33" s="49">
        <v>276</v>
      </c>
      <c r="BS33" s="49">
        <v>1265</v>
      </c>
    </row>
    <row r="34" spans="2:71" x14ac:dyDescent="0.25">
      <c r="B34" s="11">
        <v>0.55208333333333337</v>
      </c>
      <c r="C34" s="49">
        <v>26</v>
      </c>
      <c r="D34" s="49">
        <v>5</v>
      </c>
      <c r="E34" s="49">
        <v>0</v>
      </c>
      <c r="F34" s="49">
        <v>31</v>
      </c>
      <c r="G34" s="49">
        <v>215</v>
      </c>
      <c r="H34" s="49">
        <v>12</v>
      </c>
      <c r="I34" s="49">
        <v>0</v>
      </c>
      <c r="J34" s="49">
        <v>227</v>
      </c>
      <c r="K34" s="49">
        <v>11</v>
      </c>
      <c r="L34" s="49">
        <v>0</v>
      </c>
      <c r="M34" s="49">
        <v>0</v>
      </c>
      <c r="N34" s="49">
        <v>11</v>
      </c>
      <c r="O34" s="49">
        <v>0</v>
      </c>
      <c r="P34" s="49">
        <v>0</v>
      </c>
      <c r="Q34" s="49">
        <v>0</v>
      </c>
      <c r="R34" s="49">
        <v>0</v>
      </c>
      <c r="S34" s="49">
        <v>269</v>
      </c>
      <c r="T34" s="49">
        <v>0</v>
      </c>
      <c r="U34" s="49">
        <v>0</v>
      </c>
      <c r="V34" s="49">
        <v>0</v>
      </c>
      <c r="W34" s="49">
        <v>0</v>
      </c>
      <c r="X34" s="49">
        <v>84</v>
      </c>
      <c r="Y34" s="49">
        <v>4</v>
      </c>
      <c r="Z34" s="49">
        <v>0</v>
      </c>
      <c r="AA34" s="49">
        <v>88</v>
      </c>
      <c r="AB34" s="49">
        <v>188</v>
      </c>
      <c r="AC34" s="49">
        <v>9</v>
      </c>
      <c r="AD34" s="49">
        <v>0</v>
      </c>
      <c r="AE34" s="49">
        <v>197</v>
      </c>
      <c r="AF34" s="49">
        <v>55</v>
      </c>
      <c r="AG34" s="49">
        <v>0</v>
      </c>
      <c r="AH34" s="49">
        <v>0</v>
      </c>
      <c r="AI34" s="49">
        <v>55</v>
      </c>
      <c r="AJ34" s="49">
        <v>340</v>
      </c>
      <c r="AK34" s="49">
        <v>0</v>
      </c>
      <c r="AL34" s="49">
        <v>0</v>
      </c>
      <c r="AM34" s="49">
        <v>0</v>
      </c>
      <c r="AN34" s="49">
        <v>0</v>
      </c>
      <c r="AO34" s="49">
        <v>87</v>
      </c>
      <c r="AP34" s="49">
        <v>9</v>
      </c>
      <c r="AQ34" s="49">
        <v>0</v>
      </c>
      <c r="AR34" s="49">
        <v>96</v>
      </c>
      <c r="AS34" s="49">
        <v>206</v>
      </c>
      <c r="AT34" s="49">
        <v>10</v>
      </c>
      <c r="AU34" s="49">
        <v>0</v>
      </c>
      <c r="AV34" s="49">
        <v>216</v>
      </c>
      <c r="AW34" s="49">
        <v>65</v>
      </c>
      <c r="AX34" s="49">
        <v>1</v>
      </c>
      <c r="AY34" s="49">
        <v>0</v>
      </c>
      <c r="AZ34" s="49">
        <v>66</v>
      </c>
      <c r="BA34" s="49">
        <v>378</v>
      </c>
      <c r="BB34" s="49">
        <v>1</v>
      </c>
      <c r="BC34" s="49">
        <v>0</v>
      </c>
      <c r="BD34" s="49">
        <v>0</v>
      </c>
      <c r="BE34" s="49">
        <v>1</v>
      </c>
      <c r="BF34" s="49">
        <v>16</v>
      </c>
      <c r="BG34" s="49">
        <v>0</v>
      </c>
      <c r="BH34" s="49">
        <v>0</v>
      </c>
      <c r="BI34" s="49">
        <v>16</v>
      </c>
      <c r="BJ34" s="49">
        <v>142</v>
      </c>
      <c r="BK34" s="49">
        <v>8</v>
      </c>
      <c r="BL34" s="49">
        <v>0</v>
      </c>
      <c r="BM34" s="49">
        <v>150</v>
      </c>
      <c r="BN34" s="49">
        <v>80</v>
      </c>
      <c r="BO34" s="49">
        <v>7</v>
      </c>
      <c r="BP34" s="49">
        <v>0</v>
      </c>
      <c r="BQ34" s="49">
        <v>87</v>
      </c>
      <c r="BR34" s="49">
        <v>254</v>
      </c>
      <c r="BS34" s="49">
        <v>1241</v>
      </c>
    </row>
    <row r="35" spans="2:71" x14ac:dyDescent="0.25">
      <c r="B35" s="11">
        <v>0.5625</v>
      </c>
      <c r="C35" s="49">
        <v>28</v>
      </c>
      <c r="D35" s="49">
        <v>0</v>
      </c>
      <c r="E35" s="49">
        <v>0</v>
      </c>
      <c r="F35" s="49">
        <v>28</v>
      </c>
      <c r="G35" s="49">
        <v>257</v>
      </c>
      <c r="H35" s="49">
        <v>16</v>
      </c>
      <c r="I35" s="49">
        <v>0</v>
      </c>
      <c r="J35" s="49">
        <v>273</v>
      </c>
      <c r="K35" s="49">
        <v>12</v>
      </c>
      <c r="L35" s="49">
        <v>1</v>
      </c>
      <c r="M35" s="49">
        <v>0</v>
      </c>
      <c r="N35" s="49">
        <v>13</v>
      </c>
      <c r="O35" s="49">
        <v>0</v>
      </c>
      <c r="P35" s="49">
        <v>0</v>
      </c>
      <c r="Q35" s="49">
        <v>0</v>
      </c>
      <c r="R35" s="49">
        <v>0</v>
      </c>
      <c r="S35" s="49">
        <v>314</v>
      </c>
      <c r="T35" s="49">
        <v>0</v>
      </c>
      <c r="U35" s="49">
        <v>0</v>
      </c>
      <c r="V35" s="49">
        <v>0</v>
      </c>
      <c r="W35" s="49">
        <v>0</v>
      </c>
      <c r="X35" s="49">
        <v>79</v>
      </c>
      <c r="Y35" s="49">
        <v>1</v>
      </c>
      <c r="Z35" s="49">
        <v>0</v>
      </c>
      <c r="AA35" s="49">
        <v>80</v>
      </c>
      <c r="AB35" s="49">
        <v>180</v>
      </c>
      <c r="AC35" s="49">
        <v>12</v>
      </c>
      <c r="AD35" s="49">
        <v>0</v>
      </c>
      <c r="AE35" s="49">
        <v>192</v>
      </c>
      <c r="AF35" s="49">
        <v>55</v>
      </c>
      <c r="AG35" s="49">
        <v>1</v>
      </c>
      <c r="AH35" s="49">
        <v>0</v>
      </c>
      <c r="AI35" s="49">
        <v>56</v>
      </c>
      <c r="AJ35" s="49">
        <v>328</v>
      </c>
      <c r="AK35" s="49">
        <v>1</v>
      </c>
      <c r="AL35" s="49">
        <v>0</v>
      </c>
      <c r="AM35" s="49">
        <v>0</v>
      </c>
      <c r="AN35" s="49">
        <v>1</v>
      </c>
      <c r="AO35" s="49">
        <v>85</v>
      </c>
      <c r="AP35" s="49">
        <v>11</v>
      </c>
      <c r="AQ35" s="49">
        <v>0</v>
      </c>
      <c r="AR35" s="49">
        <v>96</v>
      </c>
      <c r="AS35" s="49">
        <v>265</v>
      </c>
      <c r="AT35" s="49">
        <v>11</v>
      </c>
      <c r="AU35" s="49">
        <v>0</v>
      </c>
      <c r="AV35" s="49">
        <v>276</v>
      </c>
      <c r="AW35" s="49">
        <v>52</v>
      </c>
      <c r="AX35" s="49">
        <v>1</v>
      </c>
      <c r="AY35" s="49">
        <v>0</v>
      </c>
      <c r="AZ35" s="49">
        <v>53</v>
      </c>
      <c r="BA35" s="49">
        <v>426</v>
      </c>
      <c r="BB35" s="49">
        <v>0</v>
      </c>
      <c r="BC35" s="49">
        <v>0</v>
      </c>
      <c r="BD35" s="49">
        <v>0</v>
      </c>
      <c r="BE35" s="49">
        <v>0</v>
      </c>
      <c r="BF35" s="49">
        <v>15</v>
      </c>
      <c r="BG35" s="49">
        <v>1</v>
      </c>
      <c r="BH35" s="49">
        <v>0</v>
      </c>
      <c r="BI35" s="49">
        <v>16</v>
      </c>
      <c r="BJ35" s="49">
        <v>174</v>
      </c>
      <c r="BK35" s="49">
        <v>7</v>
      </c>
      <c r="BL35" s="49">
        <v>0</v>
      </c>
      <c r="BM35" s="49">
        <v>181</v>
      </c>
      <c r="BN35" s="49">
        <v>79</v>
      </c>
      <c r="BO35" s="49">
        <v>10</v>
      </c>
      <c r="BP35" s="49">
        <v>0</v>
      </c>
      <c r="BQ35" s="49">
        <v>89</v>
      </c>
      <c r="BR35" s="49">
        <v>286</v>
      </c>
      <c r="BS35" s="49">
        <v>1354</v>
      </c>
    </row>
    <row r="36" spans="2:71" x14ac:dyDescent="0.25">
      <c r="B36" s="11">
        <v>0.57291666666666663</v>
      </c>
      <c r="C36" s="49">
        <v>28</v>
      </c>
      <c r="D36" s="49">
        <v>2</v>
      </c>
      <c r="E36" s="49">
        <v>0</v>
      </c>
      <c r="F36" s="49">
        <v>30</v>
      </c>
      <c r="G36" s="49">
        <v>200</v>
      </c>
      <c r="H36" s="49">
        <v>9</v>
      </c>
      <c r="I36" s="49">
        <v>0</v>
      </c>
      <c r="J36" s="49">
        <v>209</v>
      </c>
      <c r="K36" s="49">
        <v>17</v>
      </c>
      <c r="L36" s="49">
        <v>2</v>
      </c>
      <c r="M36" s="49">
        <v>0</v>
      </c>
      <c r="N36" s="49">
        <v>19</v>
      </c>
      <c r="O36" s="49">
        <v>0</v>
      </c>
      <c r="P36" s="49">
        <v>0</v>
      </c>
      <c r="Q36" s="49">
        <v>0</v>
      </c>
      <c r="R36" s="49">
        <v>0</v>
      </c>
      <c r="S36" s="49">
        <v>258</v>
      </c>
      <c r="T36" s="49">
        <v>0</v>
      </c>
      <c r="U36" s="49">
        <v>0</v>
      </c>
      <c r="V36" s="49">
        <v>0</v>
      </c>
      <c r="W36" s="49">
        <v>0</v>
      </c>
      <c r="X36" s="49">
        <v>93</v>
      </c>
      <c r="Y36" s="49">
        <v>1</v>
      </c>
      <c r="Z36" s="49">
        <v>0</v>
      </c>
      <c r="AA36" s="49">
        <v>94</v>
      </c>
      <c r="AB36" s="49">
        <v>228</v>
      </c>
      <c r="AC36" s="49">
        <v>9</v>
      </c>
      <c r="AD36" s="49">
        <v>0</v>
      </c>
      <c r="AE36" s="49">
        <v>237</v>
      </c>
      <c r="AF36" s="49">
        <v>53</v>
      </c>
      <c r="AG36" s="49">
        <v>1</v>
      </c>
      <c r="AH36" s="49">
        <v>0</v>
      </c>
      <c r="AI36" s="49">
        <v>54</v>
      </c>
      <c r="AJ36" s="49">
        <v>385</v>
      </c>
      <c r="AK36" s="49">
        <v>1</v>
      </c>
      <c r="AL36" s="49">
        <v>0</v>
      </c>
      <c r="AM36" s="49">
        <v>0</v>
      </c>
      <c r="AN36" s="49">
        <v>1</v>
      </c>
      <c r="AO36" s="49">
        <v>80</v>
      </c>
      <c r="AP36" s="49">
        <v>6</v>
      </c>
      <c r="AQ36" s="49">
        <v>0</v>
      </c>
      <c r="AR36" s="49">
        <v>86</v>
      </c>
      <c r="AS36" s="49">
        <v>246</v>
      </c>
      <c r="AT36" s="49">
        <v>13</v>
      </c>
      <c r="AU36" s="49">
        <v>0</v>
      </c>
      <c r="AV36" s="49">
        <v>259</v>
      </c>
      <c r="AW36" s="49">
        <v>51</v>
      </c>
      <c r="AX36" s="49">
        <v>0</v>
      </c>
      <c r="AY36" s="49">
        <v>0</v>
      </c>
      <c r="AZ36" s="49">
        <v>51</v>
      </c>
      <c r="BA36" s="49">
        <v>397</v>
      </c>
      <c r="BB36" s="49">
        <v>1</v>
      </c>
      <c r="BC36" s="49">
        <v>0</v>
      </c>
      <c r="BD36" s="49">
        <v>0</v>
      </c>
      <c r="BE36" s="49">
        <v>1</v>
      </c>
      <c r="BF36" s="49">
        <v>19</v>
      </c>
      <c r="BG36" s="49">
        <v>1</v>
      </c>
      <c r="BH36" s="49">
        <v>0</v>
      </c>
      <c r="BI36" s="49">
        <v>20</v>
      </c>
      <c r="BJ36" s="49">
        <v>178</v>
      </c>
      <c r="BK36" s="49">
        <v>8</v>
      </c>
      <c r="BL36" s="49">
        <v>0</v>
      </c>
      <c r="BM36" s="49">
        <v>186</v>
      </c>
      <c r="BN36" s="49">
        <v>84</v>
      </c>
      <c r="BO36" s="49">
        <v>8</v>
      </c>
      <c r="BP36" s="49">
        <v>0</v>
      </c>
      <c r="BQ36" s="49">
        <v>92</v>
      </c>
      <c r="BR36" s="49">
        <v>299</v>
      </c>
      <c r="BS36" s="49">
        <v>1339</v>
      </c>
    </row>
  </sheetData>
  <mergeCells count="41">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AE12:AE13"/>
    <mergeCell ref="BB11:BQ11"/>
    <mergeCell ref="BE12:BE13"/>
    <mergeCell ref="BF12:BH12"/>
    <mergeCell ref="BI12:BI13"/>
    <mergeCell ref="BJ12:BL12"/>
    <mergeCell ref="BM12:BM13"/>
    <mergeCell ref="BN12:BP12"/>
    <mergeCell ref="BQ12:BQ13"/>
    <mergeCell ref="BB12:BD12"/>
    <mergeCell ref="BA11:BA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s>
  <conditionalFormatting pivot="1" sqref="C14:BS36">
    <cfRule type="expression" dxfId="45" priority="2">
      <formula>C$12&lt;&gt;""</formula>
    </cfRule>
  </conditionalFormatting>
  <conditionalFormatting pivot="1" sqref="C14:BS36">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5546</v>
      </c>
      <c r="I5">
        <f>MAX(I11:I303)</f>
        <v>5199</v>
      </c>
      <c r="J5">
        <f>MAX(J11:J303)</f>
        <v>5738</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5546 vehicles between 07:45 and 08:45</v>
      </c>
      <c r="I8" s="6" t="str">
        <f>IF(I5=0,"","The peak hour for " &amp;I10&amp;" is "&amp;I5&amp;" vehicles between " &amp; TEXT(I6, "hh:mm")&amp; " and " &amp;TEXT(I7,"hh:mm"))</f>
        <v>The peak hour for INT is 5199 vehicles between 13:00 and 14:00</v>
      </c>
      <c r="J8" s="6" t="str">
        <f>IF(J5=0,"","The peak hour for " &amp;J10&amp;" is "&amp;J5&amp;" vehicles between " &amp; TEXT(J6, "hh:mm")&amp; " and " &amp;TEXT(J7,"hh:mm"))</f>
        <v>The peak hour for PM is 5738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892</v>
      </c>
      <c r="C11" s="49"/>
      <c r="D11" s="49"/>
      <c r="G11" s="7">
        <f>A11</f>
        <v>0.29166666666666669</v>
      </c>
      <c r="H11">
        <f>IF(B11&lt;&gt;0,SUMIF($G$11:$G11,"&gt;"&amp;$G11-1/24,B$11:B11),0)</f>
        <v>892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892</v>
      </c>
      <c r="Q11">
        <f>P11*L11</f>
        <v>0</v>
      </c>
      <c r="S11" s="9">
        <v>0.29166666666666669</v>
      </c>
      <c r="T11" s="49">
        <v>892</v>
      </c>
      <c r="U11" s="49">
        <v>0</v>
      </c>
    </row>
    <row r="12" spans="1:21" x14ac:dyDescent="0.25">
      <c r="A12" s="9">
        <v>0.30208333333333331</v>
      </c>
      <c r="B12" s="49">
        <v>1111</v>
      </c>
      <c r="C12" s="49"/>
      <c r="D12" s="49"/>
      <c r="G12" s="7">
        <f t="shared" ref="G12:G26" si="3">A12</f>
        <v>0.30208333333333331</v>
      </c>
      <c r="H12">
        <f>IF(B12&lt;&gt;0,SUMIF($G$11:$G12,"&gt;"&amp;$G12-1/24,B$11:B12),0)</f>
        <v>2003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1111</v>
      </c>
      <c r="Q12">
        <f t="shared" ref="Q12:Q75" si="7">P12*L12</f>
        <v>0</v>
      </c>
      <c r="S12" s="9">
        <v>0.30208333333333331</v>
      </c>
      <c r="T12" s="49">
        <v>1111</v>
      </c>
      <c r="U12" s="49">
        <v>0</v>
      </c>
    </row>
    <row r="13" spans="1:21" x14ac:dyDescent="0.25">
      <c r="A13" s="9">
        <v>0.3125</v>
      </c>
      <c r="B13" s="49">
        <v>1239</v>
      </c>
      <c r="C13" s="49"/>
      <c r="D13" s="49"/>
      <c r="G13" s="7">
        <f t="shared" si="3"/>
        <v>0.3125</v>
      </c>
      <c r="H13">
        <f>IF(B13&lt;&gt;0,SUMIF($G$11:$G13,"&gt;"&amp;$G13-1/24,B$11:B13),0)</f>
        <v>3242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1239</v>
      </c>
      <c r="Q13">
        <f t="shared" si="7"/>
        <v>0</v>
      </c>
      <c r="S13" s="9">
        <v>0.3125</v>
      </c>
      <c r="T13" s="49">
        <v>1239</v>
      </c>
      <c r="U13" s="49">
        <v>0</v>
      </c>
    </row>
    <row r="14" spans="1:21" x14ac:dyDescent="0.25">
      <c r="A14" s="9">
        <v>0.32291666666666669</v>
      </c>
      <c r="B14" s="49">
        <v>1352</v>
      </c>
      <c r="C14" s="49"/>
      <c r="D14" s="49"/>
      <c r="G14" s="7">
        <f t="shared" si="3"/>
        <v>0.32291666666666669</v>
      </c>
      <c r="H14">
        <f>IF(B14&lt;&gt;0,SUMIF($G$11:$G14,"&gt;"&amp;$G14-1/24,B$11:B14),0)</f>
        <v>4594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1352</v>
      </c>
      <c r="Q14">
        <f t="shared" si="7"/>
        <v>1352</v>
      </c>
      <c r="S14" s="9">
        <v>0.32291666666666669</v>
      </c>
      <c r="T14" s="49">
        <v>1352</v>
      </c>
      <c r="U14" s="49">
        <v>1352</v>
      </c>
    </row>
    <row r="15" spans="1:21" x14ac:dyDescent="0.25">
      <c r="A15" s="9">
        <v>0.33333333333333331</v>
      </c>
      <c r="B15" s="49">
        <v>1398</v>
      </c>
      <c r="C15" s="49"/>
      <c r="D15" s="49"/>
      <c r="G15" s="7">
        <f t="shared" si="3"/>
        <v>0.33333333333333331</v>
      </c>
      <c r="H15">
        <f>IF(B15&lt;&gt;0,SUMIF($G$11:$G15,"&gt;"&amp;$G15-1/24,B$11:B15),0)</f>
        <v>5100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1398</v>
      </c>
      <c r="Q15">
        <f t="shared" si="7"/>
        <v>1398</v>
      </c>
      <c r="S15" s="9">
        <v>0.33333333333333331</v>
      </c>
      <c r="T15" s="49">
        <v>1398</v>
      </c>
      <c r="U15" s="49">
        <v>1398</v>
      </c>
    </row>
    <row r="16" spans="1:21" x14ac:dyDescent="0.25">
      <c r="A16" s="9">
        <v>0.34375</v>
      </c>
      <c r="B16" s="49">
        <v>1395</v>
      </c>
      <c r="C16" s="49"/>
      <c r="D16" s="49"/>
      <c r="G16" s="7">
        <f t="shared" si="3"/>
        <v>0.34375</v>
      </c>
      <c r="H16">
        <f>IF(B16&lt;&gt;0,SUMIF($G$11:$G16,"&gt;"&amp;$G16-1/24,B$11:B16),0)</f>
        <v>5384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1395</v>
      </c>
      <c r="Q16">
        <f t="shared" si="7"/>
        <v>1395</v>
      </c>
      <c r="S16" s="9">
        <v>0.34375</v>
      </c>
      <c r="T16" s="49">
        <v>1395</v>
      </c>
      <c r="U16" s="49">
        <v>1395</v>
      </c>
    </row>
    <row r="17" spans="1:21" x14ac:dyDescent="0.25">
      <c r="A17" s="9">
        <v>0.35416666666666669</v>
      </c>
      <c r="B17" s="49">
        <v>1401</v>
      </c>
      <c r="C17" s="49"/>
      <c r="D17" s="49"/>
      <c r="G17" s="7">
        <f t="shared" si="3"/>
        <v>0.35416666666666669</v>
      </c>
      <c r="H17">
        <f>IF(B17&lt;&gt;0,SUMIF($G$11:$G17,"&gt;"&amp;$G17-1/24,B$11:B17),0)</f>
        <v>5546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1401</v>
      </c>
      <c r="Q17">
        <f t="shared" si="7"/>
        <v>1401</v>
      </c>
      <c r="S17" s="9">
        <v>0.35416666666666669</v>
      </c>
      <c r="T17" s="49">
        <v>1401</v>
      </c>
      <c r="U17" s="49">
        <v>1401</v>
      </c>
    </row>
    <row r="18" spans="1:21" x14ac:dyDescent="0.25">
      <c r="A18" s="9">
        <v>0.36458333333333331</v>
      </c>
      <c r="B18" s="49">
        <v>1230</v>
      </c>
      <c r="C18" s="49"/>
      <c r="D18" s="49"/>
      <c r="G18" s="7">
        <f t="shared" si="3"/>
        <v>0.36458333333333331</v>
      </c>
      <c r="H18">
        <f>IF(B18&lt;&gt;0,SUMIF($G$11:$G18,"&gt;"&amp;$G18-1/24,B$11:B18),0)</f>
        <v>5424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1230</v>
      </c>
      <c r="Q18">
        <f t="shared" si="7"/>
        <v>0</v>
      </c>
      <c r="S18" s="9">
        <v>0.36458333333333331</v>
      </c>
      <c r="T18" s="49">
        <v>1230</v>
      </c>
      <c r="U18" s="49">
        <v>0</v>
      </c>
    </row>
    <row r="19" spans="1:21" x14ac:dyDescent="0.25">
      <c r="A19" s="9">
        <v>0.54166666666666663</v>
      </c>
      <c r="B19" s="49"/>
      <c r="C19" s="49">
        <v>1265</v>
      </c>
      <c r="D19" s="49"/>
      <c r="G19" s="7">
        <f t="shared" si="3"/>
        <v>0.54166666666666663</v>
      </c>
      <c r="H19">
        <f>IF(B19&lt;&gt;0,SUMIF($G$11:$G19,"&gt;"&amp;$G19-1/24,B$11:B19),0)</f>
        <v>0</v>
      </c>
      <c r="I19">
        <f>IF(C19&lt;&gt;0,SUMIF($G$11:$G19,"&gt;"&amp;$G19-1/24,C$11:C19),0)</f>
        <v>1265</v>
      </c>
      <c r="J19">
        <f>IF(D19&lt;&gt;0,SUMIF($G$11:$G19,"&gt;"&amp;$G19-1/24,D$11:D19),0)</f>
        <v>0</v>
      </c>
      <c r="K19">
        <f>IF(E19&lt;&gt;0,SUMIF($G$11:$G19,"&gt;"&amp;$G19-1/24,E$11:E19),0)</f>
        <v>0</v>
      </c>
      <c r="L19">
        <f t="shared" si="4"/>
        <v>1</v>
      </c>
      <c r="N19" t="str">
        <f t="shared" si="5"/>
        <v>INT</v>
      </c>
      <c r="O19" s="7">
        <f t="shared" si="2"/>
        <v>0.54166666666666663</v>
      </c>
      <c r="P19">
        <f t="shared" si="6"/>
        <v>1265</v>
      </c>
      <c r="Q19">
        <f t="shared" si="7"/>
        <v>1265</v>
      </c>
      <c r="S19" s="9" t="s">
        <v>49</v>
      </c>
      <c r="T19" s="49">
        <v>10018</v>
      </c>
      <c r="U19" s="49">
        <v>5546</v>
      </c>
    </row>
    <row r="20" spans="1:21" x14ac:dyDescent="0.25">
      <c r="A20" s="9">
        <v>0.55208333333333337</v>
      </c>
      <c r="B20" s="49"/>
      <c r="C20" s="49">
        <v>1241</v>
      </c>
      <c r="D20" s="49"/>
      <c r="G20" s="7">
        <f t="shared" si="3"/>
        <v>0.55208333333333337</v>
      </c>
      <c r="H20">
        <f>IF(B20&lt;&gt;0,SUMIF($G$11:$G20,"&gt;"&amp;$G20-1/24,B$11:B20),0)</f>
        <v>0</v>
      </c>
      <c r="I20">
        <f>IF(C20&lt;&gt;0,SUMIF($G$11:$G20,"&gt;"&amp;$G20-1/24,C$11:C20),0)</f>
        <v>2506</v>
      </c>
      <c r="J20">
        <f>IF(D20&lt;&gt;0,SUMIF($G$11:$G20,"&gt;"&amp;$G20-1/24,D$11:D20),0)</f>
        <v>0</v>
      </c>
      <c r="K20">
        <f>IF(E20&lt;&gt;0,SUMIF($G$11:$G20,"&gt;"&amp;$G20-1/24,E$11:E20),0)</f>
        <v>0</v>
      </c>
      <c r="L20">
        <f t="shared" si="4"/>
        <v>1</v>
      </c>
      <c r="N20" t="str">
        <f t="shared" si="5"/>
        <v>INT</v>
      </c>
      <c r="O20" s="7">
        <f t="shared" si="2"/>
        <v>0.55208333333333337</v>
      </c>
      <c r="P20">
        <f t="shared" si="6"/>
        <v>1241</v>
      </c>
      <c r="Q20">
        <f t="shared" si="7"/>
        <v>1241</v>
      </c>
    </row>
    <row r="21" spans="1:21" x14ac:dyDescent="0.25">
      <c r="A21" s="9">
        <v>0.5625</v>
      </c>
      <c r="B21" s="49"/>
      <c r="C21" s="49">
        <v>1354</v>
      </c>
      <c r="D21" s="49"/>
      <c r="G21" s="7">
        <f t="shared" si="3"/>
        <v>0.5625</v>
      </c>
      <c r="H21">
        <f>IF(B21&lt;&gt;0,SUMIF($G$11:$G21,"&gt;"&amp;$G21-1/24,B$11:B21),0)</f>
        <v>0</v>
      </c>
      <c r="I21">
        <f>IF(C21&lt;&gt;0,SUMIF($G$11:$G21,"&gt;"&amp;$G21-1/24,C$11:C21),0)</f>
        <v>3860</v>
      </c>
      <c r="J21">
        <f>IF(D21&lt;&gt;0,SUMIF($G$11:$G21,"&gt;"&amp;$G21-1/24,D$11:D21),0)</f>
        <v>0</v>
      </c>
      <c r="K21">
        <f>IF(E21&lt;&gt;0,SUMIF($G$11:$G21,"&gt;"&amp;$G21-1/24,E$11:E21),0)</f>
        <v>0</v>
      </c>
      <c r="L21">
        <f t="shared" si="4"/>
        <v>1</v>
      </c>
      <c r="N21" t="str">
        <f t="shared" si="5"/>
        <v>INT</v>
      </c>
      <c r="O21" s="7">
        <f t="shared" si="2"/>
        <v>0.5625</v>
      </c>
      <c r="P21">
        <f t="shared" si="6"/>
        <v>1354</v>
      </c>
      <c r="Q21">
        <f t="shared" si="7"/>
        <v>1354</v>
      </c>
    </row>
    <row r="22" spans="1:21" x14ac:dyDescent="0.25">
      <c r="A22" s="9">
        <v>0.57291666666666663</v>
      </c>
      <c r="B22" s="49"/>
      <c r="C22" s="49">
        <v>1339</v>
      </c>
      <c r="D22" s="49"/>
      <c r="G22" s="7">
        <f t="shared" si="3"/>
        <v>0.57291666666666663</v>
      </c>
      <c r="H22">
        <f>IF(B22&lt;&gt;0,SUMIF($G$11:$G22,"&gt;"&amp;$G22-1/24,B$11:B22),0)</f>
        <v>0</v>
      </c>
      <c r="I22">
        <f>IF(C22&lt;&gt;0,SUMIF($G$11:$G22,"&gt;"&amp;$G22-1/24,C$11:C22),0)</f>
        <v>5199</v>
      </c>
      <c r="J22">
        <f>IF(D22&lt;&gt;0,SUMIF($G$11:$G22,"&gt;"&amp;$G22-1/24,D$11:D22),0)</f>
        <v>0</v>
      </c>
      <c r="K22">
        <f>IF(E22&lt;&gt;0,SUMIF($G$11:$G22,"&gt;"&amp;$G22-1/24,E$11:E22),0)</f>
        <v>0</v>
      </c>
      <c r="L22">
        <f t="shared" si="4"/>
        <v>1</v>
      </c>
      <c r="N22" t="str">
        <f t="shared" si="5"/>
        <v>INT</v>
      </c>
      <c r="O22" s="7">
        <f t="shared" si="2"/>
        <v>0.57291666666666663</v>
      </c>
      <c r="P22">
        <f t="shared" si="6"/>
        <v>1339</v>
      </c>
      <c r="Q22">
        <f t="shared" si="7"/>
        <v>1339</v>
      </c>
    </row>
    <row r="23" spans="1:21" x14ac:dyDescent="0.25">
      <c r="A23" s="9">
        <v>0.66666666666666663</v>
      </c>
      <c r="B23" s="49"/>
      <c r="C23" s="49"/>
      <c r="D23" s="49">
        <v>1368</v>
      </c>
      <c r="G23" s="7">
        <f t="shared" si="3"/>
        <v>0.66666666666666663</v>
      </c>
      <c r="H23">
        <f>IF(B23&lt;&gt;0,SUMIF($G$11:$G23,"&gt;"&amp;$G23-1/24,B$11:B23),0)</f>
        <v>0</v>
      </c>
      <c r="I23">
        <f>IF(C23&lt;&gt;0,SUMIF($G$11:$G23,"&gt;"&amp;$G23-1/24,C$11:C23),0)</f>
        <v>0</v>
      </c>
      <c r="J23">
        <f>IF(D23&lt;&gt;0,SUMIF($G$11:$G23,"&gt;"&amp;$G23-1/24,D$11:D23),0)</f>
        <v>1368</v>
      </c>
      <c r="K23">
        <f>IF(E23&lt;&gt;0,SUMIF($G$11:$G23,"&gt;"&amp;$G23-1/24,E$11:E23),0)</f>
        <v>0</v>
      </c>
      <c r="L23">
        <f t="shared" si="4"/>
        <v>0</v>
      </c>
      <c r="N23" t="str">
        <f t="shared" si="5"/>
        <v>PM</v>
      </c>
      <c r="O23" s="7">
        <f t="shared" si="2"/>
        <v>0.66666666666666663</v>
      </c>
      <c r="P23">
        <f t="shared" si="6"/>
        <v>1368</v>
      </c>
      <c r="Q23">
        <f t="shared" si="7"/>
        <v>0</v>
      </c>
    </row>
    <row r="24" spans="1:21" x14ac:dyDescent="0.25">
      <c r="A24" s="9">
        <v>0.67708333333333337</v>
      </c>
      <c r="B24" s="49"/>
      <c r="C24" s="49"/>
      <c r="D24" s="49">
        <v>1446</v>
      </c>
      <c r="G24" s="7">
        <f t="shared" si="3"/>
        <v>0.67708333333333337</v>
      </c>
      <c r="H24">
        <f>IF(B24&lt;&gt;0,SUMIF($G$11:$G24,"&gt;"&amp;$G24-1/24,B$11:B24),0)</f>
        <v>0</v>
      </c>
      <c r="I24">
        <f>IF(C24&lt;&gt;0,SUMIF($G$11:$G24,"&gt;"&amp;$G24-1/24,C$11:C24),0)</f>
        <v>0</v>
      </c>
      <c r="J24">
        <f>IF(D24&lt;&gt;0,SUMIF($G$11:$G24,"&gt;"&amp;$G24-1/24,D$11:D24),0)</f>
        <v>2814</v>
      </c>
      <c r="K24">
        <f>IF(E24&lt;&gt;0,SUMIF($G$11:$G24,"&gt;"&amp;$G24-1/24,E$11:E24),0)</f>
        <v>0</v>
      </c>
      <c r="L24">
        <f t="shared" si="4"/>
        <v>1</v>
      </c>
      <c r="N24" t="str">
        <f t="shared" si="5"/>
        <v>PM</v>
      </c>
      <c r="O24" s="7">
        <f t="shared" si="2"/>
        <v>0.67708333333333337</v>
      </c>
      <c r="P24">
        <f t="shared" si="6"/>
        <v>1446</v>
      </c>
      <c r="Q24">
        <f t="shared" si="7"/>
        <v>1446</v>
      </c>
    </row>
    <row r="25" spans="1:21" x14ac:dyDescent="0.25">
      <c r="A25" s="9">
        <v>0.6875</v>
      </c>
      <c r="B25" s="49"/>
      <c r="C25" s="49"/>
      <c r="D25" s="49">
        <v>1376</v>
      </c>
      <c r="G25" s="7">
        <f t="shared" si="3"/>
        <v>0.6875</v>
      </c>
      <c r="H25">
        <f>IF(B25&lt;&gt;0,SUMIF($G$11:$G25,"&gt;"&amp;$G25-1/24,B$11:B25),0)</f>
        <v>0</v>
      </c>
      <c r="I25">
        <f>IF(C25&lt;&gt;0,SUMIF($G$11:$G25,"&gt;"&amp;$G25-1/24,C$11:C25),0)</f>
        <v>0</v>
      </c>
      <c r="J25">
        <f>IF(D25&lt;&gt;0,SUMIF($G$11:$G25,"&gt;"&amp;$G25-1/24,D$11:D25),0)</f>
        <v>4190</v>
      </c>
      <c r="K25">
        <f>IF(E25&lt;&gt;0,SUMIF($G$11:$G25,"&gt;"&amp;$G25-1/24,E$11:E25),0)</f>
        <v>0</v>
      </c>
      <c r="L25">
        <f t="shared" si="4"/>
        <v>1</v>
      </c>
      <c r="N25" t="str">
        <f t="shared" si="5"/>
        <v>PM</v>
      </c>
      <c r="O25" s="7">
        <f t="shared" si="2"/>
        <v>0.6875</v>
      </c>
      <c r="P25">
        <f t="shared" si="6"/>
        <v>1376</v>
      </c>
      <c r="Q25">
        <f t="shared" si="7"/>
        <v>1376</v>
      </c>
    </row>
    <row r="26" spans="1:21" x14ac:dyDescent="0.25">
      <c r="A26" s="9">
        <v>0.69791666666666663</v>
      </c>
      <c r="B26" s="49"/>
      <c r="C26" s="49"/>
      <c r="D26" s="49">
        <v>1433</v>
      </c>
      <c r="G26" s="7">
        <f t="shared" si="3"/>
        <v>0.69791666666666663</v>
      </c>
      <c r="H26">
        <f>IF(B26&lt;&gt;0,SUMIF($G$11:$G26,"&gt;"&amp;$G26-1/24,B$11:B26),0)</f>
        <v>0</v>
      </c>
      <c r="I26">
        <f>IF(C26&lt;&gt;0,SUMIF($G$11:$G26,"&gt;"&amp;$G26-1/24,C$11:C26),0)</f>
        <v>0</v>
      </c>
      <c r="J26">
        <f>IF(D26&lt;&gt;0,SUMIF($G$11:$G26,"&gt;"&amp;$G26-1/24,D$11:D26),0)</f>
        <v>5623</v>
      </c>
      <c r="K26">
        <f>IF(E26&lt;&gt;0,SUMIF($G$11:$G26,"&gt;"&amp;$G26-1/24,E$11:E26),0)</f>
        <v>0</v>
      </c>
      <c r="L26">
        <f t="shared" si="4"/>
        <v>1</v>
      </c>
      <c r="N26" t="str">
        <f t="shared" si="5"/>
        <v>PM</v>
      </c>
      <c r="O26" s="7">
        <f t="shared" si="2"/>
        <v>0.69791666666666663</v>
      </c>
      <c r="P26">
        <f t="shared" si="6"/>
        <v>1433</v>
      </c>
      <c r="Q26">
        <f t="shared" si="7"/>
        <v>1433</v>
      </c>
    </row>
    <row r="27" spans="1:21" x14ac:dyDescent="0.25">
      <c r="A27" s="9">
        <v>0.70833333333333337</v>
      </c>
      <c r="B27" s="49"/>
      <c r="C27" s="49"/>
      <c r="D27" s="49">
        <v>1483</v>
      </c>
      <c r="G27" s="7">
        <f t="shared" ref="G27:G90" si="8">A27</f>
        <v>0.70833333333333337</v>
      </c>
      <c r="H27">
        <f>IF(B27&lt;&gt;0,SUMIF($G$11:$G27,"&gt;"&amp;$G27-1/24,B$11:B27),0)</f>
        <v>0</v>
      </c>
      <c r="I27">
        <f>IF(C27&lt;&gt;0,SUMIF($G$11:$G27,"&gt;"&amp;$G27-1/24,C$11:C27),0)</f>
        <v>0</v>
      </c>
      <c r="J27">
        <f>IF(D27&lt;&gt;0,SUMIF($G$11:$G27,"&gt;"&amp;$G27-1/24,D$11:D27),0)</f>
        <v>5738</v>
      </c>
      <c r="K27">
        <f>IF(E27&lt;&gt;0,SUMIF($G$11:$G27,"&gt;"&amp;$G27-1/24,E$11:E27),0)</f>
        <v>0</v>
      </c>
      <c r="L27">
        <f t="shared" si="4"/>
        <v>1</v>
      </c>
      <c r="N27" t="str">
        <f t="shared" si="5"/>
        <v>PM</v>
      </c>
      <c r="O27" s="7">
        <f t="shared" si="2"/>
        <v>0.70833333333333337</v>
      </c>
      <c r="P27">
        <f t="shared" si="6"/>
        <v>1483</v>
      </c>
      <c r="Q27">
        <f t="shared" si="7"/>
        <v>1483</v>
      </c>
    </row>
    <row r="28" spans="1:21" x14ac:dyDescent="0.25">
      <c r="A28" s="9">
        <v>0.71875</v>
      </c>
      <c r="B28" s="49"/>
      <c r="C28" s="49"/>
      <c r="D28" s="49">
        <v>1424</v>
      </c>
      <c r="G28" s="7">
        <f t="shared" si="8"/>
        <v>0.71875</v>
      </c>
      <c r="H28">
        <f>IF(B28&lt;&gt;0,SUMIF($G$11:$G28,"&gt;"&amp;$G28-1/24,B$11:B28),0)</f>
        <v>0</v>
      </c>
      <c r="I28">
        <f>IF(C28&lt;&gt;0,SUMIF($G$11:$G28,"&gt;"&amp;$G28-1/24,C$11:C28),0)</f>
        <v>0</v>
      </c>
      <c r="J28">
        <f>IF(D28&lt;&gt;0,SUMIF($G$11:$G28,"&gt;"&amp;$G28-1/24,D$11:D28),0)</f>
        <v>5716</v>
      </c>
      <c r="K28">
        <f>IF(E28&lt;&gt;0,SUMIF($G$11:$G28,"&gt;"&amp;$G28-1/24,E$11:E28),0)</f>
        <v>0</v>
      </c>
      <c r="L28">
        <f t="shared" si="4"/>
        <v>0</v>
      </c>
      <c r="N28" t="str">
        <f t="shared" si="5"/>
        <v>PM</v>
      </c>
      <c r="O28" s="7">
        <f t="shared" si="2"/>
        <v>0.71875</v>
      </c>
      <c r="P28">
        <f t="shared" si="6"/>
        <v>1424</v>
      </c>
      <c r="Q28">
        <f t="shared" si="7"/>
        <v>0</v>
      </c>
    </row>
    <row r="29" spans="1:21" x14ac:dyDescent="0.25">
      <c r="A29" s="9">
        <v>0.72916666666666663</v>
      </c>
      <c r="B29" s="49"/>
      <c r="C29" s="49"/>
      <c r="D29" s="49">
        <v>1240</v>
      </c>
      <c r="G29" s="7">
        <f t="shared" si="8"/>
        <v>0.72916666666666663</v>
      </c>
      <c r="H29">
        <f>IF(B29&lt;&gt;0,SUMIF($G$11:$G29,"&gt;"&amp;$G29-1/24,B$11:B29),0)</f>
        <v>0</v>
      </c>
      <c r="I29">
        <f>IF(C29&lt;&gt;0,SUMIF($G$11:$G29,"&gt;"&amp;$G29-1/24,C$11:C29),0)</f>
        <v>0</v>
      </c>
      <c r="J29">
        <f>IF(D29&lt;&gt;0,SUMIF($G$11:$G29,"&gt;"&amp;$G29-1/24,D$11:D29),0)</f>
        <v>5580</v>
      </c>
      <c r="K29">
        <f>IF(E29&lt;&gt;0,SUMIF($G$11:$G29,"&gt;"&amp;$G29-1/24,E$11:E29),0)</f>
        <v>0</v>
      </c>
      <c r="L29">
        <f t="shared" si="4"/>
        <v>0</v>
      </c>
      <c r="N29" t="str">
        <f t="shared" si="5"/>
        <v>PM</v>
      </c>
      <c r="O29" s="7">
        <f t="shared" si="2"/>
        <v>0.72916666666666663</v>
      </c>
      <c r="P29">
        <f t="shared" si="6"/>
        <v>1240</v>
      </c>
      <c r="Q29">
        <f t="shared" si="7"/>
        <v>0</v>
      </c>
    </row>
    <row r="30" spans="1:21" x14ac:dyDescent="0.25">
      <c r="A30" s="9">
        <v>0.73958333333333337</v>
      </c>
      <c r="B30" s="49"/>
      <c r="C30" s="49"/>
      <c r="D30" s="49">
        <v>1116</v>
      </c>
      <c r="G30" s="7">
        <f t="shared" si="8"/>
        <v>0.73958333333333337</v>
      </c>
      <c r="H30">
        <f>IF(B30&lt;&gt;0,SUMIF($G$11:$G30,"&gt;"&amp;$G30-1/24,B$11:B30),0)</f>
        <v>0</v>
      </c>
      <c r="I30">
        <f>IF(C30&lt;&gt;0,SUMIF($G$11:$G30,"&gt;"&amp;$G30-1/24,C$11:C30),0)</f>
        <v>0</v>
      </c>
      <c r="J30">
        <f>IF(D30&lt;&gt;0,SUMIF($G$11:$G30,"&gt;"&amp;$G30-1/24,D$11:D30),0)</f>
        <v>5263</v>
      </c>
      <c r="K30">
        <f>IF(E30&lt;&gt;0,SUMIF($G$11:$G30,"&gt;"&amp;$G30-1/24,E$11:E30),0)</f>
        <v>0</v>
      </c>
      <c r="L30">
        <f t="shared" si="4"/>
        <v>0</v>
      </c>
      <c r="N30" t="str">
        <f t="shared" si="5"/>
        <v>PM</v>
      </c>
      <c r="O30" s="7">
        <f t="shared" si="2"/>
        <v>0.73958333333333337</v>
      </c>
      <c r="P30">
        <f t="shared" si="6"/>
        <v>1116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892</v>
      </c>
      <c r="E5" t="str">
        <f>"Vehicle Count by Exit Leg for "&amp;C2&amp;" Period"</f>
        <v>Vehicle Count by Exit Leg for AM Period</v>
      </c>
    </row>
    <row r="6" spans="2:5" x14ac:dyDescent="0.25">
      <c r="B6" s="9">
        <v>0.30208333333333331</v>
      </c>
      <c r="C6" s="49">
        <v>1111</v>
      </c>
    </row>
    <row r="7" spans="2:5" x14ac:dyDescent="0.25">
      <c r="B7" s="9">
        <v>0.3125</v>
      </c>
      <c r="C7" s="49">
        <v>1239</v>
      </c>
    </row>
    <row r="8" spans="2:5" x14ac:dyDescent="0.25">
      <c r="B8" s="9">
        <v>0.32291666666666669</v>
      </c>
      <c r="C8" s="49">
        <v>1352</v>
      </c>
    </row>
    <row r="9" spans="2:5" x14ac:dyDescent="0.25">
      <c r="B9" s="9">
        <v>0.33333333333333331</v>
      </c>
      <c r="C9" s="49">
        <v>1398</v>
      </c>
    </row>
    <row r="10" spans="2:5" x14ac:dyDescent="0.25">
      <c r="B10" s="9">
        <v>0.34375</v>
      </c>
      <c r="C10" s="49">
        <v>1395</v>
      </c>
    </row>
    <row r="11" spans="2:5" x14ac:dyDescent="0.25">
      <c r="B11" s="9">
        <v>0.35416666666666669</v>
      </c>
      <c r="C11" s="49">
        <v>1401</v>
      </c>
    </row>
    <row r="12" spans="2:5" x14ac:dyDescent="0.25">
      <c r="B12" s="9">
        <v>0.36458333333333331</v>
      </c>
      <c r="C12" s="49">
        <v>1230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85546875" bestFit="1" customWidth="1"/>
    <col min="13" max="14" width="18.7109375" bestFit="1" customWidth="1"/>
    <col min="15" max="15" width="5.5703125" customWidth="1"/>
    <col min="16" max="18" width="3.28515625" customWidth="1"/>
    <col min="19" max="19" width="11.28515625" bestFit="1" customWidth="1"/>
    <col min="20" max="20" width="18.7109375" bestFit="1" customWidth="1"/>
    <col min="21" max="21" width="19.85546875" bestFit="1" customWidth="1"/>
    <col min="22" max="23" width="18.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892</v>
      </c>
      <c r="J26" s="9">
        <v>0.29166666666666669</v>
      </c>
      <c r="K26" s="50">
        <v>151</v>
      </c>
      <c r="L26" s="50">
        <v>192</v>
      </c>
      <c r="M26" s="50">
        <v>250</v>
      </c>
      <c r="N26" s="50">
        <v>299</v>
      </c>
      <c r="S26" s="9">
        <v>0.29166666666666669</v>
      </c>
      <c r="T26" s="50">
        <v>197</v>
      </c>
      <c r="U26" s="50">
        <v>204</v>
      </c>
      <c r="V26" s="50">
        <v>198</v>
      </c>
      <c r="W26" s="50">
        <v>293</v>
      </c>
    </row>
    <row r="27" spans="2:24" x14ac:dyDescent="0.25">
      <c r="B27" s="9">
        <v>0.30208333333333331</v>
      </c>
      <c r="C27" s="50">
        <v>1111</v>
      </c>
      <c r="J27" s="9">
        <v>0.30208333333333331</v>
      </c>
      <c r="K27" s="50">
        <v>195</v>
      </c>
      <c r="L27" s="50">
        <v>219</v>
      </c>
      <c r="M27" s="50">
        <v>299</v>
      </c>
      <c r="N27" s="50">
        <v>398</v>
      </c>
      <c r="S27" s="9">
        <v>0.30208333333333331</v>
      </c>
      <c r="T27" s="50">
        <v>217</v>
      </c>
      <c r="U27" s="50">
        <v>275</v>
      </c>
      <c r="V27" s="50">
        <v>240</v>
      </c>
      <c r="W27" s="50">
        <v>379</v>
      </c>
    </row>
    <row r="28" spans="2:24" x14ac:dyDescent="0.25">
      <c r="B28" s="9">
        <v>0.3125</v>
      </c>
      <c r="C28" s="50">
        <v>1239</v>
      </c>
      <c r="J28" s="9">
        <v>0.3125</v>
      </c>
      <c r="K28" s="50">
        <v>213</v>
      </c>
      <c r="L28" s="50">
        <v>264</v>
      </c>
      <c r="M28" s="50">
        <v>278</v>
      </c>
      <c r="N28" s="50">
        <v>484</v>
      </c>
      <c r="S28" s="9">
        <v>0.3125</v>
      </c>
      <c r="T28" s="50">
        <v>295</v>
      </c>
      <c r="U28" s="50">
        <v>282</v>
      </c>
      <c r="V28" s="50">
        <v>321</v>
      </c>
      <c r="W28" s="50">
        <v>341</v>
      </c>
    </row>
    <row r="29" spans="2:24" x14ac:dyDescent="0.25">
      <c r="B29" s="9">
        <v>0.32291666666666669</v>
      </c>
      <c r="C29" s="50">
        <v>1352</v>
      </c>
      <c r="J29" s="9">
        <v>0.32291666666666669</v>
      </c>
      <c r="K29" s="50">
        <v>279</v>
      </c>
      <c r="L29" s="50">
        <v>272</v>
      </c>
      <c r="M29" s="50">
        <v>312</v>
      </c>
      <c r="N29" s="50">
        <v>489</v>
      </c>
      <c r="S29" s="9">
        <v>0.32291666666666669</v>
      </c>
      <c r="T29" s="50">
        <v>341</v>
      </c>
      <c r="U29" s="50">
        <v>346</v>
      </c>
      <c r="V29" s="50">
        <v>311</v>
      </c>
      <c r="W29" s="50">
        <v>354</v>
      </c>
    </row>
    <row r="30" spans="2:24" x14ac:dyDescent="0.25">
      <c r="B30" s="9">
        <v>0.33333333333333331</v>
      </c>
      <c r="C30" s="50">
        <v>1398</v>
      </c>
      <c r="J30" s="9">
        <v>0.33333333333333331</v>
      </c>
      <c r="K30" s="50">
        <v>251</v>
      </c>
      <c r="L30" s="50">
        <v>259</v>
      </c>
      <c r="M30" s="50">
        <v>321</v>
      </c>
      <c r="N30" s="50">
        <v>567</v>
      </c>
      <c r="S30" s="9">
        <v>0.33333333333333331</v>
      </c>
      <c r="T30" s="50">
        <v>350</v>
      </c>
      <c r="U30" s="50">
        <v>368</v>
      </c>
      <c r="V30" s="50">
        <v>359</v>
      </c>
      <c r="W30" s="50">
        <v>321</v>
      </c>
    </row>
    <row r="31" spans="2:24" x14ac:dyDescent="0.25">
      <c r="B31" s="9">
        <v>0.34375</v>
      </c>
      <c r="C31" s="50">
        <v>1395</v>
      </c>
      <c r="J31" s="9">
        <v>0.34375</v>
      </c>
      <c r="K31" s="50">
        <v>232</v>
      </c>
      <c r="L31" s="50">
        <v>291</v>
      </c>
      <c r="M31" s="50">
        <v>321</v>
      </c>
      <c r="N31" s="50">
        <v>551</v>
      </c>
      <c r="S31" s="9">
        <v>0.34375</v>
      </c>
      <c r="T31" s="50">
        <v>322</v>
      </c>
      <c r="U31" s="50">
        <v>288</v>
      </c>
      <c r="V31" s="50">
        <v>381</v>
      </c>
      <c r="W31" s="50">
        <v>404</v>
      </c>
    </row>
    <row r="32" spans="2:24" x14ac:dyDescent="0.25">
      <c r="B32" s="9">
        <v>0.35416666666666669</v>
      </c>
      <c r="C32" s="50">
        <v>1401</v>
      </c>
      <c r="J32" s="9">
        <v>0.35416666666666669</v>
      </c>
      <c r="K32" s="50">
        <v>258</v>
      </c>
      <c r="L32" s="50">
        <v>280</v>
      </c>
      <c r="M32" s="50">
        <v>330</v>
      </c>
      <c r="N32" s="50">
        <v>533</v>
      </c>
      <c r="S32" s="9">
        <v>0.35416666666666669</v>
      </c>
      <c r="T32" s="50">
        <v>330</v>
      </c>
      <c r="U32" s="50">
        <v>276</v>
      </c>
      <c r="V32" s="50">
        <v>385</v>
      </c>
      <c r="W32" s="50">
        <v>410</v>
      </c>
    </row>
    <row r="33" spans="2:23" x14ac:dyDescent="0.25">
      <c r="B33" s="9">
        <v>0.36458333333333331</v>
      </c>
      <c r="C33" s="50">
        <v>1230</v>
      </c>
      <c r="J33" s="9">
        <v>0.36458333333333331</v>
      </c>
      <c r="K33" s="50">
        <v>264</v>
      </c>
      <c r="L33" s="50">
        <v>251</v>
      </c>
      <c r="M33" s="50">
        <v>262</v>
      </c>
      <c r="N33" s="50">
        <v>453</v>
      </c>
      <c r="S33" s="9">
        <v>0.36458333333333331</v>
      </c>
      <c r="T33" s="50">
        <v>282</v>
      </c>
      <c r="U33" s="50">
        <v>284</v>
      </c>
      <c r="V33" s="50">
        <v>317</v>
      </c>
      <c r="W33" s="50">
        <v>347</v>
      </c>
    </row>
    <row r="34" spans="2:23" x14ac:dyDescent="0.25">
      <c r="B34" s="9" t="s">
        <v>49</v>
      </c>
      <c r="C34" s="50">
        <v>10018</v>
      </c>
      <c r="J34" s="9" t="s">
        <v>49</v>
      </c>
      <c r="K34" s="50">
        <v>1843</v>
      </c>
      <c r="L34" s="50">
        <v>2028</v>
      </c>
      <c r="M34" s="50">
        <v>2373</v>
      </c>
      <c r="N34" s="50">
        <v>3774</v>
      </c>
      <c r="S34" s="9" t="s">
        <v>49</v>
      </c>
      <c r="T34" s="50">
        <v>2334</v>
      </c>
      <c r="U34" s="50">
        <v>2323</v>
      </c>
      <c r="V34" s="50">
        <v>2512</v>
      </c>
      <c r="W34" s="50">
        <v>2849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5546 vehicles between 07:45 and 08:45</v>
      </c>
    </row>
    <row r="5" spans="2:2" x14ac:dyDescent="0.25">
      <c r="B5" s="6" t="str">
        <f>PeakCalc!I8</f>
        <v>The peak hour for INT is 5199 vehicles between 13:00 and 14:00</v>
      </c>
    </row>
    <row r="6" spans="2:2" x14ac:dyDescent="0.25">
      <c r="B6" s="6" t="str">
        <f>PeakCalc!J8</f>
        <v>The peak hour for PM is 5738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6" t="s">
        <v>43</v>
      </c>
      <c r="D30" s="57"/>
      <c r="E30" s="57"/>
      <c r="F30" s="56" t="s">
        <v>84</v>
      </c>
      <c r="G30" s="54" t="s">
        <v>44</v>
      </c>
      <c r="H30" s="55"/>
      <c r="I30" s="55"/>
      <c r="J30" s="54" t="s">
        <v>87</v>
      </c>
      <c r="K30" s="54" t="s">
        <v>90</v>
      </c>
      <c r="L30" s="55"/>
      <c r="M30" s="55"/>
      <c r="N30" s="54" t="s">
        <v>128</v>
      </c>
    </row>
    <row r="31" spans="2:14" x14ac:dyDescent="0.25">
      <c r="B31" s="25"/>
      <c r="C31" s="24" t="s">
        <v>79</v>
      </c>
      <c r="D31" s="24" t="s">
        <v>89</v>
      </c>
      <c r="E31" s="24" t="s">
        <v>91</v>
      </c>
      <c r="F31" s="57"/>
      <c r="G31" s="24" t="s">
        <v>79</v>
      </c>
      <c r="H31" s="24" t="s">
        <v>89</v>
      </c>
      <c r="I31" s="24" t="s">
        <v>91</v>
      </c>
      <c r="J31" s="55"/>
      <c r="K31" s="24" t="s">
        <v>79</v>
      </c>
      <c r="L31" s="24" t="s">
        <v>89</v>
      </c>
      <c r="M31" s="24" t="s">
        <v>91</v>
      </c>
      <c r="N31" s="55"/>
    </row>
    <row r="32" spans="2:14" x14ac:dyDescent="0.25">
      <c r="B32" s="10" t="s">
        <v>93</v>
      </c>
      <c r="C32" s="49">
        <v>1232</v>
      </c>
      <c r="D32" s="49">
        <v>52</v>
      </c>
      <c r="E32" s="49">
        <v>0</v>
      </c>
      <c r="F32" s="49">
        <v>1284</v>
      </c>
      <c r="G32" s="49">
        <v>1132</v>
      </c>
      <c r="H32" s="49">
        <v>37</v>
      </c>
      <c r="I32" s="49">
        <v>0</v>
      </c>
      <c r="J32" s="49">
        <v>1169</v>
      </c>
      <c r="K32" s="49">
        <v>1064</v>
      </c>
      <c r="L32" s="49">
        <v>59</v>
      </c>
      <c r="M32" s="49">
        <v>0</v>
      </c>
      <c r="N32" s="49">
        <v>1123</v>
      </c>
    </row>
    <row r="33" spans="2:14" x14ac:dyDescent="0.25">
      <c r="B33" s="14" t="s">
        <v>97</v>
      </c>
      <c r="C33" s="49">
        <v>224</v>
      </c>
      <c r="D33" s="49">
        <v>11</v>
      </c>
      <c r="E33" s="49">
        <v>0</v>
      </c>
      <c r="F33" s="49">
        <v>235</v>
      </c>
      <c r="G33" s="49">
        <v>103</v>
      </c>
      <c r="H33" s="49">
        <v>6</v>
      </c>
      <c r="I33" s="49">
        <v>0</v>
      </c>
      <c r="J33" s="49">
        <v>109</v>
      </c>
      <c r="K33" s="49">
        <v>112</v>
      </c>
      <c r="L33" s="49">
        <v>10</v>
      </c>
      <c r="M33" s="49">
        <v>0</v>
      </c>
      <c r="N33" s="49">
        <v>122</v>
      </c>
    </row>
    <row r="34" spans="2:14" x14ac:dyDescent="0.25">
      <c r="B34" s="14" t="s">
        <v>98</v>
      </c>
      <c r="C34" s="49">
        <v>935</v>
      </c>
      <c r="D34" s="49">
        <v>36</v>
      </c>
      <c r="E34" s="49">
        <v>0</v>
      </c>
      <c r="F34" s="49">
        <v>971</v>
      </c>
      <c r="G34" s="49">
        <v>982</v>
      </c>
      <c r="H34" s="49">
        <v>27</v>
      </c>
      <c r="I34" s="49">
        <v>0</v>
      </c>
      <c r="J34" s="49">
        <v>1009</v>
      </c>
      <c r="K34" s="49">
        <v>893</v>
      </c>
      <c r="L34" s="49">
        <v>45</v>
      </c>
      <c r="M34" s="49">
        <v>0</v>
      </c>
      <c r="N34" s="49">
        <v>938</v>
      </c>
    </row>
    <row r="35" spans="2:14" x14ac:dyDescent="0.25">
      <c r="B35" s="14" t="s">
        <v>99</v>
      </c>
      <c r="C35" s="49">
        <v>73</v>
      </c>
      <c r="D35" s="49">
        <v>5</v>
      </c>
      <c r="E35" s="49">
        <v>0</v>
      </c>
      <c r="F35" s="49">
        <v>78</v>
      </c>
      <c r="G35" s="49">
        <v>45</v>
      </c>
      <c r="H35" s="49">
        <v>4</v>
      </c>
      <c r="I35" s="49">
        <v>0</v>
      </c>
      <c r="J35" s="49">
        <v>49</v>
      </c>
      <c r="K35" s="49">
        <v>59</v>
      </c>
      <c r="L35" s="49">
        <v>4</v>
      </c>
      <c r="M35" s="49">
        <v>0</v>
      </c>
      <c r="N35" s="49">
        <v>63</v>
      </c>
    </row>
    <row r="36" spans="2:14" x14ac:dyDescent="0.25">
      <c r="B36" s="14" t="s">
        <v>100</v>
      </c>
      <c r="C36" s="49">
        <v>0</v>
      </c>
      <c r="D36" s="49">
        <v>0</v>
      </c>
      <c r="E36" s="49">
        <v>0</v>
      </c>
      <c r="F36" s="49">
        <v>0</v>
      </c>
      <c r="G36" s="49">
        <v>2</v>
      </c>
      <c r="H36" s="49">
        <v>0</v>
      </c>
      <c r="I36" s="49">
        <v>0</v>
      </c>
      <c r="J36" s="49">
        <v>2</v>
      </c>
      <c r="K36" s="49">
        <v>0</v>
      </c>
      <c r="L36" s="49">
        <v>0</v>
      </c>
      <c r="M36" s="49">
        <v>0</v>
      </c>
      <c r="N36" s="49">
        <v>0</v>
      </c>
    </row>
    <row r="37" spans="2:14" x14ac:dyDescent="0.25">
      <c r="B37" s="10" t="s">
        <v>94</v>
      </c>
      <c r="C37" s="49">
        <v>964</v>
      </c>
      <c r="D37" s="49">
        <v>55</v>
      </c>
      <c r="E37" s="49">
        <v>1</v>
      </c>
      <c r="F37" s="49">
        <v>1020</v>
      </c>
      <c r="G37" s="49">
        <v>1320</v>
      </c>
      <c r="H37" s="49">
        <v>39</v>
      </c>
      <c r="I37" s="49">
        <v>0</v>
      </c>
      <c r="J37" s="49">
        <v>1359</v>
      </c>
      <c r="K37" s="49">
        <v>1300</v>
      </c>
      <c r="L37" s="49">
        <v>56</v>
      </c>
      <c r="M37" s="49">
        <v>0</v>
      </c>
      <c r="N37" s="49">
        <v>1356</v>
      </c>
    </row>
    <row r="38" spans="2:14" x14ac:dyDescent="0.25">
      <c r="B38" s="14" t="s">
        <v>100</v>
      </c>
      <c r="C38" s="49">
        <v>3</v>
      </c>
      <c r="D38" s="49">
        <v>0</v>
      </c>
      <c r="E38" s="49">
        <v>0</v>
      </c>
      <c r="F38" s="49">
        <v>3</v>
      </c>
      <c r="G38" s="49">
        <v>1</v>
      </c>
      <c r="H38" s="49">
        <v>0</v>
      </c>
      <c r="I38" s="49">
        <v>0</v>
      </c>
      <c r="J38" s="49">
        <v>1</v>
      </c>
      <c r="K38" s="49">
        <v>0</v>
      </c>
      <c r="L38" s="49">
        <v>0</v>
      </c>
      <c r="M38" s="49">
        <v>0</v>
      </c>
      <c r="N38" s="49">
        <v>0</v>
      </c>
    </row>
    <row r="39" spans="2:14" x14ac:dyDescent="0.25">
      <c r="B39" s="14" t="s">
        <v>101</v>
      </c>
      <c r="C39" s="49">
        <v>204</v>
      </c>
      <c r="D39" s="49">
        <v>17</v>
      </c>
      <c r="E39" s="49">
        <v>0</v>
      </c>
      <c r="F39" s="49">
        <v>221</v>
      </c>
      <c r="G39" s="49">
        <v>306</v>
      </c>
      <c r="H39" s="49">
        <v>10</v>
      </c>
      <c r="I39" s="49">
        <v>0</v>
      </c>
      <c r="J39" s="49">
        <v>316</v>
      </c>
      <c r="K39" s="49">
        <v>322</v>
      </c>
      <c r="L39" s="49">
        <v>8</v>
      </c>
      <c r="M39" s="49">
        <v>0</v>
      </c>
      <c r="N39" s="49">
        <v>330</v>
      </c>
    </row>
    <row r="40" spans="2:14" x14ac:dyDescent="0.25">
      <c r="B40" s="14" t="s">
        <v>102</v>
      </c>
      <c r="C40" s="49">
        <v>642</v>
      </c>
      <c r="D40" s="49">
        <v>33</v>
      </c>
      <c r="E40" s="49">
        <v>1</v>
      </c>
      <c r="F40" s="49">
        <v>676</v>
      </c>
      <c r="G40" s="49">
        <v>761</v>
      </c>
      <c r="H40" s="49">
        <v>25</v>
      </c>
      <c r="I40" s="49">
        <v>0</v>
      </c>
      <c r="J40" s="49">
        <v>786</v>
      </c>
      <c r="K40" s="49">
        <v>772</v>
      </c>
      <c r="L40" s="49">
        <v>41</v>
      </c>
      <c r="M40" s="49">
        <v>0</v>
      </c>
      <c r="N40" s="49">
        <v>813</v>
      </c>
    </row>
    <row r="41" spans="2:14" x14ac:dyDescent="0.25">
      <c r="B41" s="14" t="s">
        <v>103</v>
      </c>
      <c r="C41" s="49">
        <v>115</v>
      </c>
      <c r="D41" s="49">
        <v>5</v>
      </c>
      <c r="E41" s="49">
        <v>0</v>
      </c>
      <c r="F41" s="49">
        <v>120</v>
      </c>
      <c r="G41" s="49">
        <v>252</v>
      </c>
      <c r="H41" s="49">
        <v>4</v>
      </c>
      <c r="I41" s="49">
        <v>0</v>
      </c>
      <c r="J41" s="49">
        <v>256</v>
      </c>
      <c r="K41" s="49">
        <v>206</v>
      </c>
      <c r="L41" s="49">
        <v>7</v>
      </c>
      <c r="M41" s="49">
        <v>0</v>
      </c>
      <c r="N41" s="49">
        <v>213</v>
      </c>
    </row>
    <row r="42" spans="2:14" x14ac:dyDescent="0.25">
      <c r="B42" s="10" t="s">
        <v>95</v>
      </c>
      <c r="C42" s="49">
        <v>2023</v>
      </c>
      <c r="D42" s="49">
        <v>117</v>
      </c>
      <c r="E42" s="49">
        <v>0</v>
      </c>
      <c r="F42" s="49">
        <v>2140</v>
      </c>
      <c r="G42" s="49">
        <v>1791</v>
      </c>
      <c r="H42" s="49">
        <v>69</v>
      </c>
      <c r="I42" s="49">
        <v>0</v>
      </c>
      <c r="J42" s="49">
        <v>1860</v>
      </c>
      <c r="K42" s="49">
        <v>1521</v>
      </c>
      <c r="L42" s="49">
        <v>84</v>
      </c>
      <c r="M42" s="49">
        <v>0</v>
      </c>
      <c r="N42" s="49">
        <v>1605</v>
      </c>
    </row>
    <row r="43" spans="2:14" x14ac:dyDescent="0.25">
      <c r="B43" s="14" t="s">
        <v>100</v>
      </c>
      <c r="C43" s="49">
        <v>0</v>
      </c>
      <c r="D43" s="49">
        <v>0</v>
      </c>
      <c r="E43" s="49">
        <v>0</v>
      </c>
      <c r="F43" s="49">
        <v>0</v>
      </c>
      <c r="G43" s="49">
        <v>0</v>
      </c>
      <c r="H43" s="49">
        <v>0</v>
      </c>
      <c r="I43" s="49">
        <v>0</v>
      </c>
      <c r="J43" s="49">
        <v>0</v>
      </c>
      <c r="K43" s="49">
        <v>2</v>
      </c>
      <c r="L43" s="49">
        <v>0</v>
      </c>
      <c r="M43" s="49">
        <v>0</v>
      </c>
      <c r="N43" s="49">
        <v>2</v>
      </c>
    </row>
    <row r="44" spans="2:14" x14ac:dyDescent="0.25">
      <c r="B44" s="14" t="s">
        <v>104</v>
      </c>
      <c r="C44" s="49">
        <v>476</v>
      </c>
      <c r="D44" s="49">
        <v>47</v>
      </c>
      <c r="E44" s="49">
        <v>0</v>
      </c>
      <c r="F44" s="49">
        <v>523</v>
      </c>
      <c r="G44" s="49">
        <v>321</v>
      </c>
      <c r="H44" s="49">
        <v>27</v>
      </c>
      <c r="I44" s="49">
        <v>0</v>
      </c>
      <c r="J44" s="49">
        <v>348</v>
      </c>
      <c r="K44" s="49">
        <v>335</v>
      </c>
      <c r="L44" s="49">
        <v>38</v>
      </c>
      <c r="M44" s="49">
        <v>0</v>
      </c>
      <c r="N44" s="49">
        <v>373</v>
      </c>
    </row>
    <row r="45" spans="2:14" x14ac:dyDescent="0.25">
      <c r="B45" s="14" t="s">
        <v>105</v>
      </c>
      <c r="C45" s="49">
        <v>1203</v>
      </c>
      <c r="D45" s="49">
        <v>54</v>
      </c>
      <c r="E45" s="49">
        <v>0</v>
      </c>
      <c r="F45" s="49">
        <v>1257</v>
      </c>
      <c r="G45" s="49">
        <v>1255</v>
      </c>
      <c r="H45" s="49">
        <v>36</v>
      </c>
      <c r="I45" s="49">
        <v>0</v>
      </c>
      <c r="J45" s="49">
        <v>1291</v>
      </c>
      <c r="K45" s="49">
        <v>957</v>
      </c>
      <c r="L45" s="49">
        <v>42</v>
      </c>
      <c r="M45" s="49">
        <v>0</v>
      </c>
      <c r="N45" s="49">
        <v>999</v>
      </c>
    </row>
    <row r="46" spans="2:14" x14ac:dyDescent="0.25">
      <c r="B46" s="14" t="s">
        <v>106</v>
      </c>
      <c r="C46" s="49">
        <v>344</v>
      </c>
      <c r="D46" s="49">
        <v>16</v>
      </c>
      <c r="E46" s="49">
        <v>0</v>
      </c>
      <c r="F46" s="49">
        <v>360</v>
      </c>
      <c r="G46" s="49">
        <v>215</v>
      </c>
      <c r="H46" s="49">
        <v>6</v>
      </c>
      <c r="I46" s="49">
        <v>0</v>
      </c>
      <c r="J46" s="49">
        <v>221</v>
      </c>
      <c r="K46" s="49">
        <v>227</v>
      </c>
      <c r="L46" s="49">
        <v>4</v>
      </c>
      <c r="M46" s="49">
        <v>0</v>
      </c>
      <c r="N46" s="49">
        <v>231</v>
      </c>
    </row>
    <row r="47" spans="2:14" x14ac:dyDescent="0.25">
      <c r="B47" s="10" t="s">
        <v>96</v>
      </c>
      <c r="C47" s="49">
        <v>1031</v>
      </c>
      <c r="D47" s="49">
        <v>70</v>
      </c>
      <c r="E47" s="49">
        <v>1</v>
      </c>
      <c r="F47" s="49">
        <v>1102</v>
      </c>
      <c r="G47" s="49">
        <v>1310</v>
      </c>
      <c r="H47" s="49">
        <v>40</v>
      </c>
      <c r="I47" s="49">
        <v>0</v>
      </c>
      <c r="J47" s="49">
        <v>1350</v>
      </c>
      <c r="K47" s="49">
        <v>1056</v>
      </c>
      <c r="L47" s="49">
        <v>59</v>
      </c>
      <c r="M47" s="49">
        <v>0</v>
      </c>
      <c r="N47" s="49">
        <v>1115</v>
      </c>
    </row>
    <row r="48" spans="2:14" x14ac:dyDescent="0.25">
      <c r="B48" s="14" t="s">
        <v>100</v>
      </c>
      <c r="C48" s="49">
        <v>1</v>
      </c>
      <c r="D48" s="49">
        <v>0</v>
      </c>
      <c r="E48" s="49">
        <v>0</v>
      </c>
      <c r="F48" s="49">
        <v>1</v>
      </c>
      <c r="G48" s="49">
        <v>0</v>
      </c>
      <c r="H48" s="49">
        <v>0</v>
      </c>
      <c r="I48" s="49">
        <v>0</v>
      </c>
      <c r="J48" s="49">
        <v>0</v>
      </c>
      <c r="K48" s="49">
        <v>2</v>
      </c>
      <c r="L48" s="49">
        <v>0</v>
      </c>
      <c r="M48" s="49">
        <v>0</v>
      </c>
      <c r="N48" s="49">
        <v>2</v>
      </c>
    </row>
    <row r="49" spans="2:14" x14ac:dyDescent="0.25">
      <c r="B49" s="14" t="s">
        <v>107</v>
      </c>
      <c r="C49" s="49">
        <v>55</v>
      </c>
      <c r="D49" s="49">
        <v>4</v>
      </c>
      <c r="E49" s="49">
        <v>0</v>
      </c>
      <c r="F49" s="49">
        <v>59</v>
      </c>
      <c r="G49" s="49">
        <v>92</v>
      </c>
      <c r="H49" s="49">
        <v>3</v>
      </c>
      <c r="I49" s="49">
        <v>0</v>
      </c>
      <c r="J49" s="49">
        <v>95</v>
      </c>
      <c r="K49" s="49">
        <v>67</v>
      </c>
      <c r="L49" s="49">
        <v>2</v>
      </c>
      <c r="M49" s="49">
        <v>0</v>
      </c>
      <c r="N49" s="49">
        <v>69</v>
      </c>
    </row>
    <row r="50" spans="2:14" x14ac:dyDescent="0.25">
      <c r="B50" s="14" t="s">
        <v>108</v>
      </c>
      <c r="C50" s="49">
        <v>709</v>
      </c>
      <c r="D50" s="49">
        <v>35</v>
      </c>
      <c r="E50" s="49">
        <v>1</v>
      </c>
      <c r="F50" s="49">
        <v>745</v>
      </c>
      <c r="G50" s="49">
        <v>721</v>
      </c>
      <c r="H50" s="49">
        <v>19</v>
      </c>
      <c r="I50" s="49">
        <v>0</v>
      </c>
      <c r="J50" s="49">
        <v>740</v>
      </c>
      <c r="K50" s="49">
        <v>660</v>
      </c>
      <c r="L50" s="49">
        <v>28</v>
      </c>
      <c r="M50" s="49">
        <v>0</v>
      </c>
      <c r="N50" s="49">
        <v>688</v>
      </c>
    </row>
    <row r="51" spans="2:14" x14ac:dyDescent="0.25">
      <c r="B51" s="14" t="s">
        <v>109</v>
      </c>
      <c r="C51" s="49">
        <v>266</v>
      </c>
      <c r="D51" s="49">
        <v>31</v>
      </c>
      <c r="E51" s="49">
        <v>0</v>
      </c>
      <c r="F51" s="49">
        <v>297</v>
      </c>
      <c r="G51" s="49">
        <v>497</v>
      </c>
      <c r="H51" s="49">
        <v>18</v>
      </c>
      <c r="I51" s="49">
        <v>0</v>
      </c>
      <c r="J51" s="49">
        <v>515</v>
      </c>
      <c r="K51" s="49">
        <v>327</v>
      </c>
      <c r="L51" s="49">
        <v>29</v>
      </c>
      <c r="M51" s="49">
        <v>0</v>
      </c>
      <c r="N51" s="49">
        <v>356</v>
      </c>
    </row>
    <row r="52" spans="2:14" x14ac:dyDescent="0.25">
      <c r="B52" s="10" t="s">
        <v>49</v>
      </c>
      <c r="C52" s="49">
        <v>5250</v>
      </c>
      <c r="D52" s="49">
        <v>294</v>
      </c>
      <c r="E52" s="49">
        <v>2</v>
      </c>
      <c r="F52" s="49">
        <v>5546</v>
      </c>
      <c r="G52" s="49">
        <v>5553</v>
      </c>
      <c r="H52" s="49">
        <v>185</v>
      </c>
      <c r="I52" s="49">
        <v>0</v>
      </c>
      <c r="J52" s="49">
        <v>5738</v>
      </c>
      <c r="K52" s="49">
        <v>4941</v>
      </c>
      <c r="L52" s="49">
        <v>258</v>
      </c>
      <c r="M52" s="49">
        <v>0</v>
      </c>
      <c r="N52" s="49">
        <v>5199</v>
      </c>
    </row>
  </sheetData>
  <mergeCells count="6">
    <mergeCell ref="N30:N31"/>
    <mergeCell ref="C30:E30"/>
    <mergeCell ref="F30:F31"/>
    <mergeCell ref="G30:I30"/>
    <mergeCell ref="J30:J31"/>
    <mergeCell ref="K30:M30"/>
  </mergeCells>
  <conditionalFormatting pivot="1" sqref="C32:N52">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038C-CFD7-4CF2-A5F1-D7C2622D7E14}">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61" t="s">
        <v>173</v>
      </c>
      <c r="B1" s="61"/>
      <c r="C1" s="66" t="s">
        <v>175</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1" t="s">
        <v>172</v>
      </c>
      <c r="B2" s="61"/>
      <c r="C2" s="68">
        <v>44291</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1" t="s">
        <v>9</v>
      </c>
      <c r="B3" s="61"/>
      <c r="C3" s="67">
        <v>0.29166666666666669</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1" t="s">
        <v>171</v>
      </c>
      <c r="B4" s="61"/>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1" t="s">
        <v>170</v>
      </c>
      <c r="B5" s="61"/>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1" t="s">
        <v>129</v>
      </c>
      <c r="B6" s="61"/>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1" t="s">
        <v>129</v>
      </c>
      <c r="B7" s="61"/>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1" t="s">
        <v>129</v>
      </c>
      <c r="B8" s="61"/>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1" t="s">
        <v>129</v>
      </c>
      <c r="B9" s="61"/>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1" t="s">
        <v>169</v>
      </c>
      <c r="B10" s="61"/>
      <c r="C10" s="62" t="s">
        <v>168</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1" t="s">
        <v>167</v>
      </c>
      <c r="B11" s="61"/>
      <c r="C11" s="62" t="s">
        <v>166</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1" t="s">
        <v>129</v>
      </c>
      <c r="B12" s="63" t="s">
        <v>165</v>
      </c>
      <c r="C12" s="64"/>
      <c r="D12" s="64"/>
      <c r="E12" s="64"/>
      <c r="F12" s="64"/>
      <c r="G12" s="64"/>
      <c r="H12" s="64"/>
      <c r="I12" s="65"/>
      <c r="J12" s="63" t="s">
        <v>161</v>
      </c>
      <c r="K12" s="64"/>
      <c r="L12" s="64"/>
      <c r="M12" s="64"/>
      <c r="N12" s="64"/>
      <c r="O12" s="64"/>
      <c r="P12" s="64"/>
      <c r="Q12" s="65"/>
      <c r="R12" s="63" t="s">
        <v>164</v>
      </c>
      <c r="S12" s="64"/>
      <c r="T12" s="64"/>
      <c r="U12" s="64"/>
      <c r="V12" s="64"/>
      <c r="W12" s="64"/>
      <c r="X12" s="64"/>
      <c r="Y12" s="65"/>
      <c r="Z12" s="63" t="s">
        <v>161</v>
      </c>
      <c r="AA12" s="64"/>
      <c r="AB12" s="64"/>
      <c r="AC12" s="64"/>
      <c r="AD12" s="64"/>
      <c r="AE12" s="64"/>
      <c r="AF12" s="64"/>
      <c r="AG12" s="65"/>
      <c r="AH12" s="63" t="s">
        <v>163</v>
      </c>
      <c r="AI12" s="64"/>
      <c r="AJ12" s="64"/>
      <c r="AK12" s="64"/>
      <c r="AL12" s="64"/>
      <c r="AM12" s="64"/>
      <c r="AN12" s="64"/>
      <c r="AO12" s="65"/>
      <c r="AP12" s="63" t="s">
        <v>161</v>
      </c>
      <c r="AQ12" s="64"/>
      <c r="AR12" s="64"/>
      <c r="AS12" s="64"/>
      <c r="AT12" s="64"/>
      <c r="AU12" s="64"/>
      <c r="AV12" s="64"/>
      <c r="AW12" s="65"/>
      <c r="AX12" s="63" t="s">
        <v>162</v>
      </c>
      <c r="AY12" s="64"/>
      <c r="AZ12" s="64"/>
      <c r="BA12" s="64"/>
      <c r="BB12" s="64"/>
      <c r="BC12" s="64"/>
      <c r="BD12" s="64"/>
      <c r="BE12" s="65"/>
      <c r="BF12" s="63" t="s">
        <v>161</v>
      </c>
      <c r="BG12" s="64"/>
      <c r="BH12" s="64"/>
      <c r="BI12" s="64"/>
      <c r="BJ12" s="64"/>
      <c r="BK12" s="64"/>
      <c r="BL12" s="64"/>
      <c r="BM12" s="65"/>
    </row>
    <row r="13" spans="1:65" ht="15" customHeight="1" x14ac:dyDescent="0.2">
      <c r="A13" s="51" t="s">
        <v>129</v>
      </c>
      <c r="B13" s="58" t="s">
        <v>160</v>
      </c>
      <c r="C13" s="59"/>
      <c r="D13" s="59"/>
      <c r="E13" s="59"/>
      <c r="F13" s="59"/>
      <c r="G13" s="59"/>
      <c r="H13" s="59"/>
      <c r="I13" s="60"/>
      <c r="J13" s="58" t="s">
        <v>159</v>
      </c>
      <c r="K13" s="59"/>
      <c r="L13" s="59"/>
      <c r="M13" s="59"/>
      <c r="N13" s="59"/>
      <c r="O13" s="59"/>
      <c r="P13" s="59"/>
      <c r="Q13" s="60"/>
      <c r="R13" s="58" t="s">
        <v>158</v>
      </c>
      <c r="S13" s="59"/>
      <c r="T13" s="59"/>
      <c r="U13" s="59"/>
      <c r="V13" s="59"/>
      <c r="W13" s="59"/>
      <c r="X13" s="59"/>
      <c r="Y13" s="60"/>
      <c r="Z13" s="58" t="s">
        <v>157</v>
      </c>
      <c r="AA13" s="59"/>
      <c r="AB13" s="59"/>
      <c r="AC13" s="59"/>
      <c r="AD13" s="59"/>
      <c r="AE13" s="59"/>
      <c r="AF13" s="59"/>
      <c r="AG13" s="60"/>
      <c r="AH13" s="58" t="s">
        <v>156</v>
      </c>
      <c r="AI13" s="59"/>
      <c r="AJ13" s="59"/>
      <c r="AK13" s="59"/>
      <c r="AL13" s="59"/>
      <c r="AM13" s="59"/>
      <c r="AN13" s="59"/>
      <c r="AO13" s="60"/>
      <c r="AP13" s="58" t="s">
        <v>155</v>
      </c>
      <c r="AQ13" s="59"/>
      <c r="AR13" s="59"/>
      <c r="AS13" s="59"/>
      <c r="AT13" s="59"/>
      <c r="AU13" s="59"/>
      <c r="AV13" s="59"/>
      <c r="AW13" s="60"/>
      <c r="AX13" s="58" t="s">
        <v>154</v>
      </c>
      <c r="AY13" s="59"/>
      <c r="AZ13" s="59"/>
      <c r="BA13" s="59"/>
      <c r="BB13" s="59"/>
      <c r="BC13" s="59"/>
      <c r="BD13" s="59"/>
      <c r="BE13" s="60"/>
      <c r="BF13" s="58" t="s">
        <v>153</v>
      </c>
      <c r="BG13" s="59"/>
      <c r="BH13" s="59"/>
      <c r="BI13" s="59"/>
      <c r="BJ13" s="59"/>
      <c r="BK13" s="59"/>
      <c r="BL13" s="59"/>
      <c r="BM13" s="60"/>
    </row>
    <row r="14" spans="1:65" ht="15" customHeight="1" x14ac:dyDescent="0.2">
      <c r="A14" s="53" t="s">
        <v>9</v>
      </c>
      <c r="B14" s="53" t="s">
        <v>152</v>
      </c>
      <c r="C14" s="53" t="s">
        <v>151</v>
      </c>
      <c r="D14" s="53" t="s">
        <v>150</v>
      </c>
      <c r="E14" s="53" t="s">
        <v>149</v>
      </c>
      <c r="F14" s="53" t="s">
        <v>148</v>
      </c>
      <c r="G14" s="53" t="s">
        <v>147</v>
      </c>
      <c r="H14" s="53" t="s">
        <v>146</v>
      </c>
      <c r="I14" s="53" t="s">
        <v>100</v>
      </c>
      <c r="J14" s="53" t="s">
        <v>152</v>
      </c>
      <c r="K14" s="53" t="s">
        <v>151</v>
      </c>
      <c r="L14" s="53" t="s">
        <v>150</v>
      </c>
      <c r="M14" s="53" t="s">
        <v>149</v>
      </c>
      <c r="N14" s="53" t="s">
        <v>148</v>
      </c>
      <c r="O14" s="53" t="s">
        <v>147</v>
      </c>
      <c r="P14" s="53" t="s">
        <v>146</v>
      </c>
      <c r="Q14" s="53" t="s">
        <v>100</v>
      </c>
      <c r="R14" s="53" t="s">
        <v>152</v>
      </c>
      <c r="S14" s="53" t="s">
        <v>151</v>
      </c>
      <c r="T14" s="53" t="s">
        <v>150</v>
      </c>
      <c r="U14" s="53" t="s">
        <v>149</v>
      </c>
      <c r="V14" s="53" t="s">
        <v>148</v>
      </c>
      <c r="W14" s="53" t="s">
        <v>147</v>
      </c>
      <c r="X14" s="53" t="s">
        <v>146</v>
      </c>
      <c r="Y14" s="53" t="s">
        <v>100</v>
      </c>
      <c r="Z14" s="53" t="s">
        <v>152</v>
      </c>
      <c r="AA14" s="53" t="s">
        <v>151</v>
      </c>
      <c r="AB14" s="53" t="s">
        <v>150</v>
      </c>
      <c r="AC14" s="53" t="s">
        <v>149</v>
      </c>
      <c r="AD14" s="53" t="s">
        <v>148</v>
      </c>
      <c r="AE14" s="53" t="s">
        <v>147</v>
      </c>
      <c r="AF14" s="53" t="s">
        <v>146</v>
      </c>
      <c r="AG14" s="53" t="s">
        <v>100</v>
      </c>
      <c r="AH14" s="53" t="s">
        <v>152</v>
      </c>
      <c r="AI14" s="53" t="s">
        <v>151</v>
      </c>
      <c r="AJ14" s="53" t="s">
        <v>150</v>
      </c>
      <c r="AK14" s="53" t="s">
        <v>149</v>
      </c>
      <c r="AL14" s="53" t="s">
        <v>148</v>
      </c>
      <c r="AM14" s="53" t="s">
        <v>147</v>
      </c>
      <c r="AN14" s="53" t="s">
        <v>146</v>
      </c>
      <c r="AO14" s="53" t="s">
        <v>100</v>
      </c>
      <c r="AP14" s="53" t="s">
        <v>152</v>
      </c>
      <c r="AQ14" s="53" t="s">
        <v>151</v>
      </c>
      <c r="AR14" s="53" t="s">
        <v>150</v>
      </c>
      <c r="AS14" s="53" t="s">
        <v>149</v>
      </c>
      <c r="AT14" s="53" t="s">
        <v>148</v>
      </c>
      <c r="AU14" s="53" t="s">
        <v>147</v>
      </c>
      <c r="AV14" s="53" t="s">
        <v>146</v>
      </c>
      <c r="AW14" s="53" t="s">
        <v>100</v>
      </c>
      <c r="AX14" s="53" t="s">
        <v>152</v>
      </c>
      <c r="AY14" s="53" t="s">
        <v>151</v>
      </c>
      <c r="AZ14" s="53" t="s">
        <v>150</v>
      </c>
      <c r="BA14" s="53" t="s">
        <v>149</v>
      </c>
      <c r="BB14" s="53" t="s">
        <v>148</v>
      </c>
      <c r="BC14" s="53" t="s">
        <v>147</v>
      </c>
      <c r="BD14" s="53" t="s">
        <v>146</v>
      </c>
      <c r="BE14" s="53" t="s">
        <v>100</v>
      </c>
      <c r="BF14" s="53" t="s">
        <v>152</v>
      </c>
      <c r="BG14" s="53" t="s">
        <v>151</v>
      </c>
      <c r="BH14" s="53" t="s">
        <v>150</v>
      </c>
      <c r="BI14" s="53" t="s">
        <v>149</v>
      </c>
      <c r="BJ14" s="53" t="s">
        <v>148</v>
      </c>
      <c r="BK14" s="53" t="s">
        <v>147</v>
      </c>
      <c r="BL14" s="53" t="s">
        <v>146</v>
      </c>
      <c r="BM14" s="53" t="s">
        <v>100</v>
      </c>
    </row>
    <row r="15" spans="1:65" ht="15" customHeight="1" x14ac:dyDescent="0.2">
      <c r="A15" s="51" t="s">
        <v>145</v>
      </c>
      <c r="B15" s="51" t="s">
        <v>129</v>
      </c>
      <c r="C15" s="51">
        <v>38</v>
      </c>
      <c r="D15" s="51" t="s">
        <v>129</v>
      </c>
      <c r="E15" s="51">
        <v>188</v>
      </c>
      <c r="F15" s="51" t="s">
        <v>129</v>
      </c>
      <c r="G15" s="51">
        <v>11</v>
      </c>
      <c r="H15" s="51" t="s">
        <v>129</v>
      </c>
      <c r="I15" s="51">
        <v>0</v>
      </c>
      <c r="J15" s="51" t="s">
        <v>129</v>
      </c>
      <c r="K15" s="51" t="s">
        <v>129</v>
      </c>
      <c r="L15" s="51" t="s">
        <v>129</v>
      </c>
      <c r="M15" s="51" t="s">
        <v>129</v>
      </c>
      <c r="N15" s="51" t="s">
        <v>129</v>
      </c>
      <c r="O15" s="51" t="s">
        <v>129</v>
      </c>
      <c r="P15" s="51" t="s">
        <v>129</v>
      </c>
      <c r="Q15" s="51" t="s">
        <v>129</v>
      </c>
      <c r="R15" s="51" t="s">
        <v>129</v>
      </c>
      <c r="S15" s="51">
        <v>31</v>
      </c>
      <c r="T15" s="51" t="s">
        <v>129</v>
      </c>
      <c r="U15" s="51">
        <v>98</v>
      </c>
      <c r="V15" s="51" t="s">
        <v>129</v>
      </c>
      <c r="W15" s="51">
        <v>10</v>
      </c>
      <c r="X15" s="51" t="s">
        <v>129</v>
      </c>
      <c r="Y15" s="51">
        <v>0</v>
      </c>
      <c r="Z15" s="51" t="s">
        <v>129</v>
      </c>
      <c r="AA15" s="51" t="s">
        <v>129</v>
      </c>
      <c r="AB15" s="51" t="s">
        <v>129</v>
      </c>
      <c r="AC15" s="51" t="s">
        <v>129</v>
      </c>
      <c r="AD15" s="51" t="s">
        <v>129</v>
      </c>
      <c r="AE15" s="51" t="s">
        <v>129</v>
      </c>
      <c r="AF15" s="51" t="s">
        <v>129</v>
      </c>
      <c r="AG15" s="51" t="s">
        <v>129</v>
      </c>
      <c r="AH15" s="51" t="s">
        <v>129</v>
      </c>
      <c r="AI15" s="51">
        <v>74</v>
      </c>
      <c r="AJ15" s="51" t="s">
        <v>129</v>
      </c>
      <c r="AK15" s="51">
        <v>174</v>
      </c>
      <c r="AL15" s="51" t="s">
        <v>129</v>
      </c>
      <c r="AM15" s="51">
        <v>28</v>
      </c>
      <c r="AN15" s="51" t="s">
        <v>129</v>
      </c>
      <c r="AO15" s="51">
        <v>0</v>
      </c>
      <c r="AP15" s="51" t="s">
        <v>129</v>
      </c>
      <c r="AQ15" s="51" t="s">
        <v>129</v>
      </c>
      <c r="AR15" s="51" t="s">
        <v>129</v>
      </c>
      <c r="AS15" s="51" t="s">
        <v>129</v>
      </c>
      <c r="AT15" s="51" t="s">
        <v>129</v>
      </c>
      <c r="AU15" s="51" t="s">
        <v>129</v>
      </c>
      <c r="AV15" s="51" t="s">
        <v>129</v>
      </c>
      <c r="AW15" s="51" t="s">
        <v>129</v>
      </c>
      <c r="AX15" s="51" t="s">
        <v>129</v>
      </c>
      <c r="AY15" s="51">
        <v>3</v>
      </c>
      <c r="AZ15" s="51" t="s">
        <v>129</v>
      </c>
      <c r="BA15" s="51">
        <v>116</v>
      </c>
      <c r="BB15" s="51" t="s">
        <v>129</v>
      </c>
      <c r="BC15" s="51">
        <v>53</v>
      </c>
      <c r="BD15" s="51" t="s">
        <v>129</v>
      </c>
      <c r="BE15" s="51">
        <v>0</v>
      </c>
      <c r="BF15" s="51" t="s">
        <v>129</v>
      </c>
      <c r="BG15" s="51" t="s">
        <v>129</v>
      </c>
      <c r="BH15" s="51" t="s">
        <v>129</v>
      </c>
      <c r="BI15" s="51" t="s">
        <v>129</v>
      </c>
      <c r="BJ15" s="51" t="s">
        <v>129</v>
      </c>
      <c r="BK15" s="51" t="s">
        <v>129</v>
      </c>
      <c r="BL15" s="51" t="s">
        <v>129</v>
      </c>
      <c r="BM15" s="51" t="s">
        <v>129</v>
      </c>
    </row>
    <row r="16" spans="1:65" ht="15" customHeight="1" x14ac:dyDescent="0.2">
      <c r="A16" s="51" t="s">
        <v>144</v>
      </c>
      <c r="B16" s="51" t="s">
        <v>129</v>
      </c>
      <c r="C16" s="51">
        <v>24</v>
      </c>
      <c r="D16" s="51" t="s">
        <v>129</v>
      </c>
      <c r="E16" s="51">
        <v>247</v>
      </c>
      <c r="F16" s="51" t="s">
        <v>129</v>
      </c>
      <c r="G16" s="51">
        <v>15</v>
      </c>
      <c r="H16" s="51" t="s">
        <v>129</v>
      </c>
      <c r="I16" s="51">
        <v>0</v>
      </c>
      <c r="J16" s="51" t="s">
        <v>129</v>
      </c>
      <c r="K16" s="51" t="s">
        <v>129</v>
      </c>
      <c r="L16" s="51" t="s">
        <v>129</v>
      </c>
      <c r="M16" s="51" t="s">
        <v>129</v>
      </c>
      <c r="N16" s="51" t="s">
        <v>129</v>
      </c>
      <c r="O16" s="51" t="s">
        <v>129</v>
      </c>
      <c r="P16" s="51" t="s">
        <v>129</v>
      </c>
      <c r="Q16" s="51" t="s">
        <v>129</v>
      </c>
      <c r="R16" s="51" t="s">
        <v>129</v>
      </c>
      <c r="S16" s="51">
        <v>45</v>
      </c>
      <c r="T16" s="51" t="s">
        <v>129</v>
      </c>
      <c r="U16" s="51">
        <v>119</v>
      </c>
      <c r="V16" s="51" t="s">
        <v>129</v>
      </c>
      <c r="W16" s="51">
        <v>13</v>
      </c>
      <c r="X16" s="51" t="s">
        <v>129</v>
      </c>
      <c r="Y16" s="51">
        <v>0</v>
      </c>
      <c r="Z16" s="51" t="s">
        <v>129</v>
      </c>
      <c r="AA16" s="51" t="s">
        <v>129</v>
      </c>
      <c r="AB16" s="51" t="s">
        <v>129</v>
      </c>
      <c r="AC16" s="51" t="s">
        <v>129</v>
      </c>
      <c r="AD16" s="51" t="s">
        <v>129</v>
      </c>
      <c r="AE16" s="51" t="s">
        <v>129</v>
      </c>
      <c r="AF16" s="51" t="s">
        <v>129</v>
      </c>
      <c r="AG16" s="51" t="s">
        <v>129</v>
      </c>
      <c r="AH16" s="51" t="s">
        <v>129</v>
      </c>
      <c r="AI16" s="51">
        <v>118</v>
      </c>
      <c r="AJ16" s="51" t="s">
        <v>129</v>
      </c>
      <c r="AK16" s="51">
        <v>209</v>
      </c>
      <c r="AL16" s="51" t="s">
        <v>129</v>
      </c>
      <c r="AM16" s="51">
        <v>46</v>
      </c>
      <c r="AN16" s="51" t="s">
        <v>129</v>
      </c>
      <c r="AO16" s="51">
        <v>0</v>
      </c>
      <c r="AP16" s="51" t="s">
        <v>129</v>
      </c>
      <c r="AQ16" s="51" t="s">
        <v>129</v>
      </c>
      <c r="AR16" s="51" t="s">
        <v>129</v>
      </c>
      <c r="AS16" s="51" t="s">
        <v>129</v>
      </c>
      <c r="AT16" s="51" t="s">
        <v>129</v>
      </c>
      <c r="AU16" s="51" t="s">
        <v>129</v>
      </c>
      <c r="AV16" s="51" t="s">
        <v>129</v>
      </c>
      <c r="AW16" s="51" t="s">
        <v>129</v>
      </c>
      <c r="AX16" s="51" t="s">
        <v>129</v>
      </c>
      <c r="AY16" s="51">
        <v>5</v>
      </c>
      <c r="AZ16" s="51" t="s">
        <v>129</v>
      </c>
      <c r="BA16" s="51">
        <v>131</v>
      </c>
      <c r="BB16" s="51" t="s">
        <v>129</v>
      </c>
      <c r="BC16" s="51">
        <v>67</v>
      </c>
      <c r="BD16" s="51" t="s">
        <v>129</v>
      </c>
      <c r="BE16" s="51">
        <v>0</v>
      </c>
      <c r="BF16" s="51" t="s">
        <v>129</v>
      </c>
      <c r="BG16" s="51" t="s">
        <v>129</v>
      </c>
      <c r="BH16" s="51" t="s">
        <v>129</v>
      </c>
      <c r="BI16" s="51" t="s">
        <v>129</v>
      </c>
      <c r="BJ16" s="51" t="s">
        <v>129</v>
      </c>
      <c r="BK16" s="51" t="s">
        <v>129</v>
      </c>
      <c r="BL16" s="51" t="s">
        <v>129</v>
      </c>
      <c r="BM16" s="51" t="s">
        <v>129</v>
      </c>
    </row>
    <row r="17" spans="1:65" ht="15" customHeight="1" x14ac:dyDescent="0.2">
      <c r="A17" s="51" t="s">
        <v>143</v>
      </c>
      <c r="B17" s="51" t="s">
        <v>129</v>
      </c>
      <c r="C17" s="51">
        <v>44</v>
      </c>
      <c r="D17" s="51" t="s">
        <v>129</v>
      </c>
      <c r="E17" s="51">
        <v>208</v>
      </c>
      <c r="F17" s="51" t="s">
        <v>129</v>
      </c>
      <c r="G17" s="51">
        <v>14</v>
      </c>
      <c r="H17" s="51" t="s">
        <v>129</v>
      </c>
      <c r="I17" s="51">
        <v>0</v>
      </c>
      <c r="J17" s="51" t="s">
        <v>129</v>
      </c>
      <c r="K17" s="51" t="s">
        <v>129</v>
      </c>
      <c r="L17" s="51" t="s">
        <v>129</v>
      </c>
      <c r="M17" s="51" t="s">
        <v>129</v>
      </c>
      <c r="N17" s="51" t="s">
        <v>129</v>
      </c>
      <c r="O17" s="51" t="s">
        <v>129</v>
      </c>
      <c r="P17" s="51" t="s">
        <v>129</v>
      </c>
      <c r="Q17" s="51" t="s">
        <v>129</v>
      </c>
      <c r="R17" s="51" t="s">
        <v>129</v>
      </c>
      <c r="S17" s="51">
        <v>50</v>
      </c>
      <c r="T17" s="51" t="s">
        <v>129</v>
      </c>
      <c r="U17" s="51">
        <v>136</v>
      </c>
      <c r="V17" s="51" t="s">
        <v>129</v>
      </c>
      <c r="W17" s="51">
        <v>13</v>
      </c>
      <c r="X17" s="51" t="s">
        <v>129</v>
      </c>
      <c r="Y17" s="51">
        <v>0</v>
      </c>
      <c r="Z17" s="51" t="s">
        <v>129</v>
      </c>
      <c r="AA17" s="51" t="s">
        <v>129</v>
      </c>
      <c r="AB17" s="51" t="s">
        <v>129</v>
      </c>
      <c r="AC17" s="51" t="s">
        <v>129</v>
      </c>
      <c r="AD17" s="51" t="s">
        <v>129</v>
      </c>
      <c r="AE17" s="51" t="s">
        <v>129</v>
      </c>
      <c r="AF17" s="51" t="s">
        <v>129</v>
      </c>
      <c r="AG17" s="51" t="s">
        <v>129</v>
      </c>
      <c r="AH17" s="51" t="s">
        <v>129</v>
      </c>
      <c r="AI17" s="51">
        <v>112</v>
      </c>
      <c r="AJ17" s="51" t="s">
        <v>129</v>
      </c>
      <c r="AK17" s="51">
        <v>287</v>
      </c>
      <c r="AL17" s="51" t="s">
        <v>129</v>
      </c>
      <c r="AM17" s="51">
        <v>59</v>
      </c>
      <c r="AN17" s="51" t="s">
        <v>129</v>
      </c>
      <c r="AO17" s="51">
        <v>1</v>
      </c>
      <c r="AP17" s="51" t="s">
        <v>129</v>
      </c>
      <c r="AQ17" s="51" t="s">
        <v>129</v>
      </c>
      <c r="AR17" s="51" t="s">
        <v>129</v>
      </c>
      <c r="AS17" s="51" t="s">
        <v>129</v>
      </c>
      <c r="AT17" s="51" t="s">
        <v>129</v>
      </c>
      <c r="AU17" s="51" t="s">
        <v>129</v>
      </c>
      <c r="AV17" s="51" t="s">
        <v>129</v>
      </c>
      <c r="AW17" s="51" t="s">
        <v>129</v>
      </c>
      <c r="AX17" s="51" t="s">
        <v>129</v>
      </c>
      <c r="AY17" s="51">
        <v>6</v>
      </c>
      <c r="AZ17" s="51" t="s">
        <v>129</v>
      </c>
      <c r="BA17" s="51">
        <v>174</v>
      </c>
      <c r="BB17" s="51" t="s">
        <v>129</v>
      </c>
      <c r="BC17" s="51">
        <v>63</v>
      </c>
      <c r="BD17" s="51" t="s">
        <v>129</v>
      </c>
      <c r="BE17" s="51">
        <v>0</v>
      </c>
      <c r="BF17" s="51" t="s">
        <v>129</v>
      </c>
      <c r="BG17" s="51" t="s">
        <v>129</v>
      </c>
      <c r="BH17" s="51" t="s">
        <v>129</v>
      </c>
      <c r="BI17" s="51" t="s">
        <v>129</v>
      </c>
      <c r="BJ17" s="51" t="s">
        <v>129</v>
      </c>
      <c r="BK17" s="51" t="s">
        <v>129</v>
      </c>
      <c r="BL17" s="51" t="s">
        <v>129</v>
      </c>
      <c r="BM17" s="51" t="s">
        <v>129</v>
      </c>
    </row>
    <row r="18" spans="1:65" ht="15" customHeight="1" x14ac:dyDescent="0.2">
      <c r="A18" s="51" t="s">
        <v>142</v>
      </c>
      <c r="B18" s="51" t="s">
        <v>129</v>
      </c>
      <c r="C18" s="51">
        <v>57</v>
      </c>
      <c r="D18" s="51" t="s">
        <v>129</v>
      </c>
      <c r="E18" s="51">
        <v>228</v>
      </c>
      <c r="F18" s="51" t="s">
        <v>129</v>
      </c>
      <c r="G18" s="51">
        <v>20</v>
      </c>
      <c r="H18" s="51" t="s">
        <v>129</v>
      </c>
      <c r="I18" s="51">
        <v>0</v>
      </c>
      <c r="J18" s="51" t="s">
        <v>129</v>
      </c>
      <c r="K18" s="51" t="s">
        <v>129</v>
      </c>
      <c r="L18" s="51" t="s">
        <v>129</v>
      </c>
      <c r="M18" s="51" t="s">
        <v>129</v>
      </c>
      <c r="N18" s="51" t="s">
        <v>129</v>
      </c>
      <c r="O18" s="51" t="s">
        <v>129</v>
      </c>
      <c r="P18" s="51" t="s">
        <v>129</v>
      </c>
      <c r="Q18" s="51" t="s">
        <v>129</v>
      </c>
      <c r="R18" s="51" t="s">
        <v>129</v>
      </c>
      <c r="S18" s="51">
        <v>49</v>
      </c>
      <c r="T18" s="51" t="s">
        <v>129</v>
      </c>
      <c r="U18" s="51">
        <v>191</v>
      </c>
      <c r="V18" s="51" t="s">
        <v>129</v>
      </c>
      <c r="W18" s="51">
        <v>21</v>
      </c>
      <c r="X18" s="51" t="s">
        <v>129</v>
      </c>
      <c r="Y18" s="51">
        <v>1</v>
      </c>
      <c r="Z18" s="51" t="s">
        <v>129</v>
      </c>
      <c r="AA18" s="51" t="s">
        <v>129</v>
      </c>
      <c r="AB18" s="51" t="s">
        <v>129</v>
      </c>
      <c r="AC18" s="51" t="s">
        <v>129</v>
      </c>
      <c r="AD18" s="51" t="s">
        <v>129</v>
      </c>
      <c r="AE18" s="51" t="s">
        <v>129</v>
      </c>
      <c r="AF18" s="51" t="s">
        <v>129</v>
      </c>
      <c r="AG18" s="51" t="s">
        <v>129</v>
      </c>
      <c r="AH18" s="51" t="s">
        <v>129</v>
      </c>
      <c r="AI18" s="51">
        <v>116</v>
      </c>
      <c r="AJ18" s="51" t="s">
        <v>129</v>
      </c>
      <c r="AK18" s="51">
        <v>265</v>
      </c>
      <c r="AL18" s="51" t="s">
        <v>129</v>
      </c>
      <c r="AM18" s="51">
        <v>82</v>
      </c>
      <c r="AN18" s="51" t="s">
        <v>129</v>
      </c>
      <c r="AO18" s="51">
        <v>0</v>
      </c>
      <c r="AP18" s="51" t="s">
        <v>129</v>
      </c>
      <c r="AQ18" s="51" t="s">
        <v>129</v>
      </c>
      <c r="AR18" s="51" t="s">
        <v>129</v>
      </c>
      <c r="AS18" s="51" t="s">
        <v>129</v>
      </c>
      <c r="AT18" s="51" t="s">
        <v>129</v>
      </c>
      <c r="AU18" s="51" t="s">
        <v>129</v>
      </c>
      <c r="AV18" s="51" t="s">
        <v>129</v>
      </c>
      <c r="AW18" s="51" t="s">
        <v>129</v>
      </c>
      <c r="AX18" s="51" t="s">
        <v>129</v>
      </c>
      <c r="AY18" s="51">
        <v>13</v>
      </c>
      <c r="AZ18" s="51" t="s">
        <v>129</v>
      </c>
      <c r="BA18" s="51">
        <v>181</v>
      </c>
      <c r="BB18" s="51" t="s">
        <v>129</v>
      </c>
      <c r="BC18" s="51">
        <v>60</v>
      </c>
      <c r="BD18" s="51" t="s">
        <v>129</v>
      </c>
      <c r="BE18" s="51">
        <v>0</v>
      </c>
      <c r="BF18" s="51" t="s">
        <v>129</v>
      </c>
      <c r="BG18" s="51" t="s">
        <v>129</v>
      </c>
      <c r="BH18" s="51" t="s">
        <v>129</v>
      </c>
      <c r="BI18" s="51" t="s">
        <v>129</v>
      </c>
      <c r="BJ18" s="51" t="s">
        <v>129</v>
      </c>
      <c r="BK18" s="51" t="s">
        <v>129</v>
      </c>
      <c r="BL18" s="51" t="s">
        <v>129</v>
      </c>
      <c r="BM18" s="51" t="s">
        <v>129</v>
      </c>
    </row>
    <row r="19" spans="1:65" ht="15" customHeight="1" x14ac:dyDescent="0.2">
      <c r="A19" s="51" t="s">
        <v>141</v>
      </c>
      <c r="B19" s="51" t="s">
        <v>129</v>
      </c>
      <c r="C19" s="51">
        <v>65</v>
      </c>
      <c r="D19" s="51" t="s">
        <v>129</v>
      </c>
      <c r="E19" s="51">
        <v>218</v>
      </c>
      <c r="F19" s="51" t="s">
        <v>129</v>
      </c>
      <c r="G19" s="51">
        <v>23</v>
      </c>
      <c r="H19" s="51" t="s">
        <v>129</v>
      </c>
      <c r="I19" s="51">
        <v>0</v>
      </c>
      <c r="J19" s="51" t="s">
        <v>129</v>
      </c>
      <c r="K19" s="51" t="s">
        <v>129</v>
      </c>
      <c r="L19" s="51" t="s">
        <v>129</v>
      </c>
      <c r="M19" s="51" t="s">
        <v>129</v>
      </c>
      <c r="N19" s="51" t="s">
        <v>129</v>
      </c>
      <c r="O19" s="51" t="s">
        <v>129</v>
      </c>
      <c r="P19" s="51" t="s">
        <v>129</v>
      </c>
      <c r="Q19" s="51" t="s">
        <v>129</v>
      </c>
      <c r="R19" s="51" t="s">
        <v>129</v>
      </c>
      <c r="S19" s="51">
        <v>25</v>
      </c>
      <c r="T19" s="51" t="s">
        <v>129</v>
      </c>
      <c r="U19" s="51">
        <v>92</v>
      </c>
      <c r="V19" s="51" t="s">
        <v>129</v>
      </c>
      <c r="W19" s="51">
        <v>22</v>
      </c>
      <c r="X19" s="51" t="s">
        <v>129</v>
      </c>
      <c r="Y19" s="51">
        <v>1</v>
      </c>
      <c r="Z19" s="51" t="s">
        <v>129</v>
      </c>
      <c r="AA19" s="51" t="s">
        <v>129</v>
      </c>
      <c r="AB19" s="51" t="s">
        <v>129</v>
      </c>
      <c r="AC19" s="51" t="s">
        <v>129</v>
      </c>
      <c r="AD19" s="51" t="s">
        <v>129</v>
      </c>
      <c r="AE19" s="51" t="s">
        <v>129</v>
      </c>
      <c r="AF19" s="51" t="s">
        <v>129</v>
      </c>
      <c r="AG19" s="51" t="s">
        <v>129</v>
      </c>
      <c r="AH19" s="51" t="s">
        <v>129</v>
      </c>
      <c r="AI19" s="51">
        <v>129</v>
      </c>
      <c r="AJ19" s="51" t="s">
        <v>129</v>
      </c>
      <c r="AK19" s="51">
        <v>308</v>
      </c>
      <c r="AL19" s="51" t="s">
        <v>129</v>
      </c>
      <c r="AM19" s="51">
        <v>93</v>
      </c>
      <c r="AN19" s="51" t="s">
        <v>129</v>
      </c>
      <c r="AO19" s="51">
        <v>0</v>
      </c>
      <c r="AP19" s="51" t="s">
        <v>129</v>
      </c>
      <c r="AQ19" s="51" t="s">
        <v>129</v>
      </c>
      <c r="AR19" s="51" t="s">
        <v>129</v>
      </c>
      <c r="AS19" s="51" t="s">
        <v>129</v>
      </c>
      <c r="AT19" s="51" t="s">
        <v>129</v>
      </c>
      <c r="AU19" s="51" t="s">
        <v>129</v>
      </c>
      <c r="AV19" s="51" t="s">
        <v>129</v>
      </c>
      <c r="AW19" s="51" t="s">
        <v>129</v>
      </c>
      <c r="AX19" s="51" t="s">
        <v>129</v>
      </c>
      <c r="AY19" s="51">
        <v>10</v>
      </c>
      <c r="AZ19" s="51" t="s">
        <v>129</v>
      </c>
      <c r="BA19" s="51">
        <v>173</v>
      </c>
      <c r="BB19" s="51" t="s">
        <v>129</v>
      </c>
      <c r="BC19" s="51">
        <v>58</v>
      </c>
      <c r="BD19" s="51" t="s">
        <v>129</v>
      </c>
      <c r="BE19" s="51">
        <v>0</v>
      </c>
      <c r="BF19" s="51" t="s">
        <v>129</v>
      </c>
      <c r="BG19" s="51" t="s">
        <v>129</v>
      </c>
      <c r="BH19" s="51" t="s">
        <v>129</v>
      </c>
      <c r="BI19" s="51" t="s">
        <v>129</v>
      </c>
      <c r="BJ19" s="51" t="s">
        <v>129</v>
      </c>
      <c r="BK19" s="51" t="s">
        <v>129</v>
      </c>
      <c r="BL19" s="51" t="s">
        <v>129</v>
      </c>
      <c r="BM19" s="51" t="s">
        <v>129</v>
      </c>
    </row>
    <row r="20" spans="1:65" ht="15" customHeight="1" x14ac:dyDescent="0.2">
      <c r="A20" s="51" t="s">
        <v>140</v>
      </c>
      <c r="B20" s="51" t="s">
        <v>129</v>
      </c>
      <c r="C20" s="51">
        <v>51</v>
      </c>
      <c r="D20" s="51" t="s">
        <v>129</v>
      </c>
      <c r="E20" s="51">
        <v>241</v>
      </c>
      <c r="F20" s="51" t="s">
        <v>129</v>
      </c>
      <c r="G20" s="51">
        <v>14</v>
      </c>
      <c r="H20" s="51" t="s">
        <v>129</v>
      </c>
      <c r="I20" s="51">
        <v>0</v>
      </c>
      <c r="J20" s="51" t="s">
        <v>129</v>
      </c>
      <c r="K20" s="51" t="s">
        <v>129</v>
      </c>
      <c r="L20" s="51" t="s">
        <v>129</v>
      </c>
      <c r="M20" s="51" t="s">
        <v>129</v>
      </c>
      <c r="N20" s="51" t="s">
        <v>129</v>
      </c>
      <c r="O20" s="51" t="s">
        <v>129</v>
      </c>
      <c r="P20" s="51" t="s">
        <v>129</v>
      </c>
      <c r="Q20" s="51" t="s">
        <v>129</v>
      </c>
      <c r="R20" s="51" t="s">
        <v>129</v>
      </c>
      <c r="S20" s="51">
        <v>60</v>
      </c>
      <c r="T20" s="51" t="s">
        <v>129</v>
      </c>
      <c r="U20" s="51">
        <v>132</v>
      </c>
      <c r="V20" s="51" t="s">
        <v>129</v>
      </c>
      <c r="W20" s="51">
        <v>29</v>
      </c>
      <c r="X20" s="51" t="s">
        <v>129</v>
      </c>
      <c r="Y20" s="51">
        <v>1</v>
      </c>
      <c r="Z20" s="51" t="s">
        <v>129</v>
      </c>
      <c r="AA20" s="51" t="s">
        <v>129</v>
      </c>
      <c r="AB20" s="51" t="s">
        <v>129</v>
      </c>
      <c r="AC20" s="51" t="s">
        <v>129</v>
      </c>
      <c r="AD20" s="51" t="s">
        <v>129</v>
      </c>
      <c r="AE20" s="51" t="s">
        <v>129</v>
      </c>
      <c r="AF20" s="51" t="s">
        <v>129</v>
      </c>
      <c r="AG20" s="51" t="s">
        <v>129</v>
      </c>
      <c r="AH20" s="51" t="s">
        <v>129</v>
      </c>
      <c r="AI20" s="51">
        <v>119</v>
      </c>
      <c r="AJ20" s="51" t="s">
        <v>129</v>
      </c>
      <c r="AK20" s="51">
        <v>325</v>
      </c>
      <c r="AL20" s="51" t="s">
        <v>129</v>
      </c>
      <c r="AM20" s="51">
        <v>80</v>
      </c>
      <c r="AN20" s="51" t="s">
        <v>129</v>
      </c>
      <c r="AO20" s="51">
        <v>0</v>
      </c>
      <c r="AP20" s="51" t="s">
        <v>129</v>
      </c>
      <c r="AQ20" s="51" t="s">
        <v>129</v>
      </c>
      <c r="AR20" s="51" t="s">
        <v>129</v>
      </c>
      <c r="AS20" s="51" t="s">
        <v>129</v>
      </c>
      <c r="AT20" s="51" t="s">
        <v>129</v>
      </c>
      <c r="AU20" s="51" t="s">
        <v>129</v>
      </c>
      <c r="AV20" s="51" t="s">
        <v>129</v>
      </c>
      <c r="AW20" s="51" t="s">
        <v>129</v>
      </c>
      <c r="AX20" s="51" t="s">
        <v>129</v>
      </c>
      <c r="AY20" s="51">
        <v>14</v>
      </c>
      <c r="AZ20" s="51" t="s">
        <v>129</v>
      </c>
      <c r="BA20" s="51">
        <v>177</v>
      </c>
      <c r="BB20" s="51" t="s">
        <v>129</v>
      </c>
      <c r="BC20" s="51">
        <v>84</v>
      </c>
      <c r="BD20" s="51" t="s">
        <v>129</v>
      </c>
      <c r="BE20" s="51">
        <v>1</v>
      </c>
      <c r="BF20" s="51" t="s">
        <v>129</v>
      </c>
      <c r="BG20" s="51" t="s">
        <v>129</v>
      </c>
      <c r="BH20" s="51" t="s">
        <v>129</v>
      </c>
      <c r="BI20" s="51" t="s">
        <v>129</v>
      </c>
      <c r="BJ20" s="51" t="s">
        <v>129</v>
      </c>
      <c r="BK20" s="51" t="s">
        <v>129</v>
      </c>
      <c r="BL20" s="51" t="s">
        <v>129</v>
      </c>
      <c r="BM20" s="51" t="s">
        <v>129</v>
      </c>
    </row>
    <row r="21" spans="1:65" ht="15" customHeight="1" x14ac:dyDescent="0.2">
      <c r="A21" s="51" t="s">
        <v>139</v>
      </c>
      <c r="B21" s="51" t="s">
        <v>129</v>
      </c>
      <c r="C21" s="51">
        <v>51</v>
      </c>
      <c r="D21" s="51" t="s">
        <v>129</v>
      </c>
      <c r="E21" s="51">
        <v>248</v>
      </c>
      <c r="F21" s="51" t="s">
        <v>129</v>
      </c>
      <c r="G21" s="51">
        <v>16</v>
      </c>
      <c r="H21" s="51" t="s">
        <v>129</v>
      </c>
      <c r="I21" s="51">
        <v>0</v>
      </c>
      <c r="J21" s="51" t="s">
        <v>129</v>
      </c>
      <c r="K21" s="51" t="s">
        <v>129</v>
      </c>
      <c r="L21" s="51" t="s">
        <v>129</v>
      </c>
      <c r="M21" s="51" t="s">
        <v>129</v>
      </c>
      <c r="N21" s="51" t="s">
        <v>129</v>
      </c>
      <c r="O21" s="51" t="s">
        <v>129</v>
      </c>
      <c r="P21" s="51" t="s">
        <v>129</v>
      </c>
      <c r="Q21" s="51" t="s">
        <v>129</v>
      </c>
      <c r="R21" s="51" t="s">
        <v>129</v>
      </c>
      <c r="S21" s="51">
        <v>70</v>
      </c>
      <c r="T21" s="51" t="s">
        <v>129</v>
      </c>
      <c r="U21" s="51">
        <v>127</v>
      </c>
      <c r="V21" s="51" t="s">
        <v>129</v>
      </c>
      <c r="W21" s="51">
        <v>43</v>
      </c>
      <c r="X21" s="51" t="s">
        <v>129</v>
      </c>
      <c r="Y21" s="51">
        <v>0</v>
      </c>
      <c r="Z21" s="51" t="s">
        <v>129</v>
      </c>
      <c r="AA21" s="51" t="s">
        <v>129</v>
      </c>
      <c r="AB21" s="51" t="s">
        <v>129</v>
      </c>
      <c r="AC21" s="51" t="s">
        <v>129</v>
      </c>
      <c r="AD21" s="51" t="s">
        <v>129</v>
      </c>
      <c r="AE21" s="51" t="s">
        <v>129</v>
      </c>
      <c r="AF21" s="51" t="s">
        <v>129</v>
      </c>
      <c r="AG21" s="51" t="s">
        <v>129</v>
      </c>
      <c r="AH21" s="51" t="s">
        <v>129</v>
      </c>
      <c r="AI21" s="51">
        <v>112</v>
      </c>
      <c r="AJ21" s="51" t="s">
        <v>129</v>
      </c>
      <c r="AK21" s="51">
        <v>305</v>
      </c>
      <c r="AL21" s="51" t="s">
        <v>129</v>
      </c>
      <c r="AM21" s="51">
        <v>89</v>
      </c>
      <c r="AN21" s="51" t="s">
        <v>129</v>
      </c>
      <c r="AO21" s="51">
        <v>0</v>
      </c>
      <c r="AP21" s="51" t="s">
        <v>129</v>
      </c>
      <c r="AQ21" s="51" t="s">
        <v>129</v>
      </c>
      <c r="AR21" s="51" t="s">
        <v>129</v>
      </c>
      <c r="AS21" s="51" t="s">
        <v>129</v>
      </c>
      <c r="AT21" s="51" t="s">
        <v>129</v>
      </c>
      <c r="AU21" s="51" t="s">
        <v>129</v>
      </c>
      <c r="AV21" s="51" t="s">
        <v>129</v>
      </c>
      <c r="AW21" s="51" t="s">
        <v>129</v>
      </c>
      <c r="AX21" s="51" t="s">
        <v>129</v>
      </c>
      <c r="AY21" s="51">
        <v>18</v>
      </c>
      <c r="AZ21" s="51" t="s">
        <v>129</v>
      </c>
      <c r="BA21" s="51">
        <v>178</v>
      </c>
      <c r="BB21" s="51" t="s">
        <v>129</v>
      </c>
      <c r="BC21" s="51">
        <v>64</v>
      </c>
      <c r="BD21" s="51" t="s">
        <v>129</v>
      </c>
      <c r="BE21" s="51">
        <v>0</v>
      </c>
      <c r="BF21" s="51" t="s">
        <v>129</v>
      </c>
      <c r="BG21" s="51" t="s">
        <v>129</v>
      </c>
      <c r="BH21" s="51" t="s">
        <v>129</v>
      </c>
      <c r="BI21" s="51" t="s">
        <v>129</v>
      </c>
      <c r="BJ21" s="51" t="s">
        <v>129</v>
      </c>
      <c r="BK21" s="51" t="s">
        <v>129</v>
      </c>
      <c r="BL21" s="51" t="s">
        <v>129</v>
      </c>
      <c r="BM21" s="51" t="s">
        <v>129</v>
      </c>
    </row>
    <row r="22" spans="1:65" ht="15" customHeight="1" x14ac:dyDescent="0.2">
      <c r="A22" s="51" t="s">
        <v>138</v>
      </c>
      <c r="B22" s="51" t="s">
        <v>129</v>
      </c>
      <c r="C22" s="51">
        <v>47</v>
      </c>
      <c r="D22" s="51" t="s">
        <v>129</v>
      </c>
      <c r="E22" s="51">
        <v>196</v>
      </c>
      <c r="F22" s="51" t="s">
        <v>129</v>
      </c>
      <c r="G22" s="51">
        <v>10</v>
      </c>
      <c r="H22" s="51" t="s">
        <v>129</v>
      </c>
      <c r="I22" s="51">
        <v>0</v>
      </c>
      <c r="J22" s="51" t="s">
        <v>129</v>
      </c>
      <c r="K22" s="51" t="s">
        <v>129</v>
      </c>
      <c r="L22" s="51" t="s">
        <v>129</v>
      </c>
      <c r="M22" s="51" t="s">
        <v>129</v>
      </c>
      <c r="N22" s="51" t="s">
        <v>129</v>
      </c>
      <c r="O22" s="51" t="s">
        <v>129</v>
      </c>
      <c r="P22" s="51" t="s">
        <v>129</v>
      </c>
      <c r="Q22" s="51" t="s">
        <v>129</v>
      </c>
      <c r="R22" s="51" t="s">
        <v>129</v>
      </c>
      <c r="S22" s="51">
        <v>55</v>
      </c>
      <c r="T22" s="51" t="s">
        <v>129</v>
      </c>
      <c r="U22" s="51">
        <v>155</v>
      </c>
      <c r="V22" s="51" t="s">
        <v>129</v>
      </c>
      <c r="W22" s="51">
        <v>40</v>
      </c>
      <c r="X22" s="51" t="s">
        <v>129</v>
      </c>
      <c r="Y22" s="51">
        <v>0</v>
      </c>
      <c r="Z22" s="51" t="s">
        <v>129</v>
      </c>
      <c r="AA22" s="51" t="s">
        <v>129</v>
      </c>
      <c r="AB22" s="51" t="s">
        <v>129</v>
      </c>
      <c r="AC22" s="51" t="s">
        <v>129</v>
      </c>
      <c r="AD22" s="51" t="s">
        <v>129</v>
      </c>
      <c r="AE22" s="51" t="s">
        <v>129</v>
      </c>
      <c r="AF22" s="51" t="s">
        <v>129</v>
      </c>
      <c r="AG22" s="51" t="s">
        <v>129</v>
      </c>
      <c r="AH22" s="51" t="s">
        <v>129</v>
      </c>
      <c r="AI22" s="51">
        <v>98</v>
      </c>
      <c r="AJ22" s="51" t="s">
        <v>129</v>
      </c>
      <c r="AK22" s="51">
        <v>253</v>
      </c>
      <c r="AL22" s="51" t="s">
        <v>129</v>
      </c>
      <c r="AM22" s="51">
        <v>69</v>
      </c>
      <c r="AN22" s="51" t="s">
        <v>129</v>
      </c>
      <c r="AO22" s="51">
        <v>0</v>
      </c>
      <c r="AP22" s="51" t="s">
        <v>129</v>
      </c>
      <c r="AQ22" s="51" t="s">
        <v>129</v>
      </c>
      <c r="AR22" s="51" t="s">
        <v>129</v>
      </c>
      <c r="AS22" s="51" t="s">
        <v>129</v>
      </c>
      <c r="AT22" s="51" t="s">
        <v>129</v>
      </c>
      <c r="AU22" s="51" t="s">
        <v>129</v>
      </c>
      <c r="AV22" s="51" t="s">
        <v>129</v>
      </c>
      <c r="AW22" s="51" t="s">
        <v>129</v>
      </c>
      <c r="AX22" s="51" t="s">
        <v>129</v>
      </c>
      <c r="AY22" s="51">
        <v>11</v>
      </c>
      <c r="AZ22" s="51" t="s">
        <v>129</v>
      </c>
      <c r="BA22" s="51">
        <v>148</v>
      </c>
      <c r="BB22" s="51" t="s">
        <v>129</v>
      </c>
      <c r="BC22" s="51">
        <v>70</v>
      </c>
      <c r="BD22" s="51" t="s">
        <v>129</v>
      </c>
      <c r="BE22" s="51">
        <v>0</v>
      </c>
      <c r="BF22" s="51" t="s">
        <v>129</v>
      </c>
      <c r="BG22" s="51" t="s">
        <v>129</v>
      </c>
      <c r="BH22" s="51" t="s">
        <v>129</v>
      </c>
      <c r="BI22" s="51" t="s">
        <v>129</v>
      </c>
      <c r="BJ22" s="51" t="s">
        <v>129</v>
      </c>
      <c r="BK22" s="51" t="s">
        <v>129</v>
      </c>
      <c r="BL22" s="51" t="s">
        <v>129</v>
      </c>
      <c r="BM22" s="51" t="s">
        <v>129</v>
      </c>
    </row>
    <row r="23" spans="1:65" ht="15" customHeight="1" x14ac:dyDescent="0.2">
      <c r="A23" s="52">
        <v>0.54166666666666663</v>
      </c>
      <c r="C23" s="51">
        <v>30</v>
      </c>
      <c r="E23" s="51">
        <v>221</v>
      </c>
      <c r="G23" s="51">
        <v>19</v>
      </c>
      <c r="I23" s="51">
        <v>0</v>
      </c>
      <c r="S23" s="51">
        <v>66</v>
      </c>
      <c r="U23" s="51">
        <v>176</v>
      </c>
      <c r="W23" s="51">
        <v>43</v>
      </c>
      <c r="Y23" s="51">
        <v>0</v>
      </c>
      <c r="AI23" s="51">
        <v>83</v>
      </c>
      <c r="AK23" s="51">
        <v>240</v>
      </c>
      <c r="AM23" s="51">
        <v>59</v>
      </c>
      <c r="AO23" s="51">
        <v>0</v>
      </c>
      <c r="AY23" s="51">
        <v>17</v>
      </c>
      <c r="BA23" s="51">
        <v>166</v>
      </c>
      <c r="BC23" s="51">
        <v>84</v>
      </c>
      <c r="BE23" s="51">
        <v>0</v>
      </c>
    </row>
    <row r="24" spans="1:65" ht="15" customHeight="1" x14ac:dyDescent="0.2">
      <c r="A24" s="52">
        <v>0.55208333333333337</v>
      </c>
      <c r="C24" s="51">
        <v>26</v>
      </c>
      <c r="E24" s="51">
        <v>215</v>
      </c>
      <c r="G24" s="51">
        <v>11</v>
      </c>
      <c r="I24" s="51">
        <v>0</v>
      </c>
      <c r="S24" s="51">
        <v>84</v>
      </c>
      <c r="U24" s="51">
        <v>188</v>
      </c>
      <c r="W24" s="51">
        <v>55</v>
      </c>
      <c r="Y24" s="51">
        <v>0</v>
      </c>
      <c r="AI24" s="51">
        <v>87</v>
      </c>
      <c r="AK24" s="51">
        <v>206</v>
      </c>
      <c r="AM24" s="51">
        <v>65</v>
      </c>
      <c r="AO24" s="51">
        <v>0</v>
      </c>
      <c r="AY24" s="51">
        <v>16</v>
      </c>
      <c r="BA24" s="51">
        <v>142</v>
      </c>
      <c r="BC24" s="51">
        <v>80</v>
      </c>
      <c r="BE24" s="51">
        <v>1</v>
      </c>
    </row>
    <row r="25" spans="1:65" ht="15" customHeight="1" x14ac:dyDescent="0.2">
      <c r="A25" s="52">
        <v>0.5625</v>
      </c>
      <c r="C25" s="51">
        <v>28</v>
      </c>
      <c r="E25" s="51">
        <v>257</v>
      </c>
      <c r="G25" s="51">
        <v>12</v>
      </c>
      <c r="I25" s="51">
        <v>0</v>
      </c>
      <c r="S25" s="51">
        <v>79</v>
      </c>
      <c r="U25" s="51">
        <v>180</v>
      </c>
      <c r="W25" s="51">
        <v>55</v>
      </c>
      <c r="Y25" s="51">
        <v>0</v>
      </c>
      <c r="AI25" s="51">
        <v>85</v>
      </c>
      <c r="AK25" s="51">
        <v>265</v>
      </c>
      <c r="AM25" s="51">
        <v>52</v>
      </c>
      <c r="AO25" s="51">
        <v>1</v>
      </c>
      <c r="AY25" s="51">
        <v>15</v>
      </c>
      <c r="BA25" s="51">
        <v>174</v>
      </c>
      <c r="BC25" s="51">
        <v>79</v>
      </c>
      <c r="BE25" s="51">
        <v>0</v>
      </c>
    </row>
    <row r="26" spans="1:65" ht="15" customHeight="1" x14ac:dyDescent="0.2">
      <c r="A26" s="52">
        <v>0.57291666666666663</v>
      </c>
      <c r="C26" s="51">
        <v>28</v>
      </c>
      <c r="E26" s="51">
        <v>200</v>
      </c>
      <c r="G26" s="51">
        <v>17</v>
      </c>
      <c r="I26" s="51">
        <v>0</v>
      </c>
      <c r="S26" s="51">
        <v>93</v>
      </c>
      <c r="U26" s="51">
        <v>228</v>
      </c>
      <c r="W26" s="51">
        <v>53</v>
      </c>
      <c r="Y26" s="51">
        <v>0</v>
      </c>
      <c r="AI26" s="51">
        <v>80</v>
      </c>
      <c r="AK26" s="51">
        <v>246</v>
      </c>
      <c r="AM26" s="51">
        <v>51</v>
      </c>
      <c r="AO26" s="51">
        <v>1</v>
      </c>
      <c r="AY26" s="51">
        <v>19</v>
      </c>
      <c r="BA26" s="51">
        <v>178</v>
      </c>
      <c r="BC26" s="51">
        <v>84</v>
      </c>
      <c r="BE26" s="51">
        <v>1</v>
      </c>
    </row>
    <row r="27" spans="1:65" ht="15" customHeight="1" x14ac:dyDescent="0.2">
      <c r="A27" s="51" t="s">
        <v>137</v>
      </c>
      <c r="B27" s="51" t="s">
        <v>129</v>
      </c>
      <c r="C27" s="51">
        <v>26</v>
      </c>
      <c r="D27" s="51" t="s">
        <v>129</v>
      </c>
      <c r="E27" s="51">
        <v>235</v>
      </c>
      <c r="F27" s="51" t="s">
        <v>129</v>
      </c>
      <c r="G27" s="51">
        <v>17</v>
      </c>
      <c r="H27" s="51" t="s">
        <v>129</v>
      </c>
      <c r="I27" s="51">
        <v>0</v>
      </c>
      <c r="J27" s="51" t="s">
        <v>129</v>
      </c>
      <c r="K27" s="51" t="s">
        <v>129</v>
      </c>
      <c r="L27" s="51" t="s">
        <v>129</v>
      </c>
      <c r="M27" s="51" t="s">
        <v>129</v>
      </c>
      <c r="N27" s="51" t="s">
        <v>129</v>
      </c>
      <c r="O27" s="51" t="s">
        <v>129</v>
      </c>
      <c r="P27" s="51" t="s">
        <v>129</v>
      </c>
      <c r="Q27" s="51" t="s">
        <v>129</v>
      </c>
      <c r="R27" s="51" t="s">
        <v>129</v>
      </c>
      <c r="S27" s="51">
        <v>59</v>
      </c>
      <c r="T27" s="51" t="s">
        <v>129</v>
      </c>
      <c r="U27" s="51">
        <v>175</v>
      </c>
      <c r="V27" s="51" t="s">
        <v>129</v>
      </c>
      <c r="W27" s="51">
        <v>60</v>
      </c>
      <c r="X27" s="51" t="s">
        <v>129</v>
      </c>
      <c r="Y27" s="51">
        <v>0</v>
      </c>
      <c r="Z27" s="51" t="s">
        <v>129</v>
      </c>
      <c r="AA27" s="51" t="s">
        <v>129</v>
      </c>
      <c r="AB27" s="51" t="s">
        <v>129</v>
      </c>
      <c r="AC27" s="51" t="s">
        <v>129</v>
      </c>
      <c r="AD27" s="51" t="s">
        <v>129</v>
      </c>
      <c r="AE27" s="51" t="s">
        <v>129</v>
      </c>
      <c r="AF27" s="51" t="s">
        <v>129</v>
      </c>
      <c r="AG27" s="51" t="s">
        <v>129</v>
      </c>
      <c r="AH27" s="51" t="s">
        <v>129</v>
      </c>
      <c r="AI27" s="51">
        <v>63</v>
      </c>
      <c r="AJ27" s="51" t="s">
        <v>129</v>
      </c>
      <c r="AK27" s="51">
        <v>333</v>
      </c>
      <c r="AL27" s="51" t="s">
        <v>129</v>
      </c>
      <c r="AM27" s="51">
        <v>55</v>
      </c>
      <c r="AN27" s="51" t="s">
        <v>129</v>
      </c>
      <c r="AO27" s="51">
        <v>0</v>
      </c>
      <c r="AP27" s="51" t="s">
        <v>129</v>
      </c>
      <c r="AQ27" s="51" t="s">
        <v>129</v>
      </c>
      <c r="AR27" s="51" t="s">
        <v>129</v>
      </c>
      <c r="AS27" s="51" t="s">
        <v>129</v>
      </c>
      <c r="AT27" s="51" t="s">
        <v>129</v>
      </c>
      <c r="AU27" s="51" t="s">
        <v>129</v>
      </c>
      <c r="AV27" s="51" t="s">
        <v>129</v>
      </c>
      <c r="AW27" s="51" t="s">
        <v>129</v>
      </c>
      <c r="AX27" s="51" t="s">
        <v>129</v>
      </c>
      <c r="AY27" s="51">
        <v>18</v>
      </c>
      <c r="AZ27" s="51" t="s">
        <v>129</v>
      </c>
      <c r="BA27" s="51">
        <v>160</v>
      </c>
      <c r="BB27" s="51" t="s">
        <v>129</v>
      </c>
      <c r="BC27" s="51">
        <v>105</v>
      </c>
      <c r="BD27" s="51" t="s">
        <v>129</v>
      </c>
      <c r="BE27" s="51">
        <v>0</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25</v>
      </c>
      <c r="D28" s="51" t="s">
        <v>129</v>
      </c>
      <c r="E28" s="51">
        <v>262</v>
      </c>
      <c r="F28" s="51" t="s">
        <v>129</v>
      </c>
      <c r="G28" s="51">
        <v>12</v>
      </c>
      <c r="H28" s="51" t="s">
        <v>129</v>
      </c>
      <c r="I28" s="51">
        <v>2</v>
      </c>
      <c r="J28" s="51" t="s">
        <v>129</v>
      </c>
      <c r="K28" s="51" t="s">
        <v>129</v>
      </c>
      <c r="L28" s="51" t="s">
        <v>129</v>
      </c>
      <c r="M28" s="51" t="s">
        <v>129</v>
      </c>
      <c r="N28" s="51" t="s">
        <v>129</v>
      </c>
      <c r="O28" s="51" t="s">
        <v>129</v>
      </c>
      <c r="P28" s="51" t="s">
        <v>129</v>
      </c>
      <c r="Q28" s="51" t="s">
        <v>129</v>
      </c>
      <c r="R28" s="51" t="s">
        <v>129</v>
      </c>
      <c r="S28" s="51">
        <v>72</v>
      </c>
      <c r="T28" s="51" t="s">
        <v>129</v>
      </c>
      <c r="U28" s="51">
        <v>195</v>
      </c>
      <c r="V28" s="51" t="s">
        <v>129</v>
      </c>
      <c r="W28" s="51">
        <v>65</v>
      </c>
      <c r="X28" s="51" t="s">
        <v>129</v>
      </c>
      <c r="Y28" s="51">
        <v>0</v>
      </c>
      <c r="Z28" s="51" t="s">
        <v>129</v>
      </c>
      <c r="AA28" s="51" t="s">
        <v>129</v>
      </c>
      <c r="AB28" s="51" t="s">
        <v>129</v>
      </c>
      <c r="AC28" s="51" t="s">
        <v>129</v>
      </c>
      <c r="AD28" s="51" t="s">
        <v>129</v>
      </c>
      <c r="AE28" s="51" t="s">
        <v>129</v>
      </c>
      <c r="AF28" s="51" t="s">
        <v>129</v>
      </c>
      <c r="AG28" s="51" t="s">
        <v>129</v>
      </c>
      <c r="AH28" s="51" t="s">
        <v>129</v>
      </c>
      <c r="AI28" s="51">
        <v>102</v>
      </c>
      <c r="AJ28" s="51" t="s">
        <v>129</v>
      </c>
      <c r="AK28" s="51">
        <v>307</v>
      </c>
      <c r="AL28" s="51" t="s">
        <v>129</v>
      </c>
      <c r="AM28" s="51">
        <v>57</v>
      </c>
      <c r="AN28" s="51" t="s">
        <v>129</v>
      </c>
      <c r="AO28" s="51">
        <v>0</v>
      </c>
      <c r="AP28" s="51" t="s">
        <v>129</v>
      </c>
      <c r="AQ28" s="51" t="s">
        <v>129</v>
      </c>
      <c r="AR28" s="51" t="s">
        <v>129</v>
      </c>
      <c r="AS28" s="51" t="s">
        <v>129</v>
      </c>
      <c r="AT28" s="51" t="s">
        <v>129</v>
      </c>
      <c r="AU28" s="51" t="s">
        <v>129</v>
      </c>
      <c r="AV28" s="51" t="s">
        <v>129</v>
      </c>
      <c r="AW28" s="51" t="s">
        <v>129</v>
      </c>
      <c r="AX28" s="51" t="s">
        <v>129</v>
      </c>
      <c r="AY28" s="51">
        <v>21</v>
      </c>
      <c r="AZ28" s="51" t="s">
        <v>129</v>
      </c>
      <c r="BA28" s="51">
        <v>156</v>
      </c>
      <c r="BB28" s="51" t="s">
        <v>129</v>
      </c>
      <c r="BC28" s="51">
        <v>117</v>
      </c>
      <c r="BD28" s="51" t="s">
        <v>129</v>
      </c>
      <c r="BE28" s="51">
        <v>0</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29</v>
      </c>
      <c r="D29" s="51" t="s">
        <v>129</v>
      </c>
      <c r="E29" s="51">
        <v>204</v>
      </c>
      <c r="F29" s="51" t="s">
        <v>129</v>
      </c>
      <c r="G29" s="51">
        <v>13</v>
      </c>
      <c r="H29" s="51" t="s">
        <v>129</v>
      </c>
      <c r="I29" s="51">
        <v>0</v>
      </c>
      <c r="J29" s="51" t="s">
        <v>129</v>
      </c>
      <c r="K29" s="51" t="s">
        <v>129</v>
      </c>
      <c r="L29" s="51" t="s">
        <v>129</v>
      </c>
      <c r="M29" s="51" t="s">
        <v>129</v>
      </c>
      <c r="N29" s="51" t="s">
        <v>129</v>
      </c>
      <c r="O29" s="51" t="s">
        <v>129</v>
      </c>
      <c r="P29" s="51" t="s">
        <v>129</v>
      </c>
      <c r="Q29" s="51" t="s">
        <v>129</v>
      </c>
      <c r="R29" s="51" t="s">
        <v>129</v>
      </c>
      <c r="S29" s="51">
        <v>78</v>
      </c>
      <c r="T29" s="51" t="s">
        <v>129</v>
      </c>
      <c r="U29" s="51">
        <v>171</v>
      </c>
      <c r="V29" s="51" t="s">
        <v>129</v>
      </c>
      <c r="W29" s="51">
        <v>59</v>
      </c>
      <c r="X29" s="51" t="s">
        <v>129</v>
      </c>
      <c r="Y29" s="51">
        <v>1</v>
      </c>
      <c r="Z29" s="51" t="s">
        <v>129</v>
      </c>
      <c r="AA29" s="51" t="s">
        <v>129</v>
      </c>
      <c r="AB29" s="51" t="s">
        <v>129</v>
      </c>
      <c r="AC29" s="51" t="s">
        <v>129</v>
      </c>
      <c r="AD29" s="51" t="s">
        <v>129</v>
      </c>
      <c r="AE29" s="51" t="s">
        <v>129</v>
      </c>
      <c r="AF29" s="51" t="s">
        <v>129</v>
      </c>
      <c r="AG29" s="51" t="s">
        <v>129</v>
      </c>
      <c r="AH29" s="51" t="s">
        <v>129</v>
      </c>
      <c r="AI29" s="51">
        <v>78</v>
      </c>
      <c r="AJ29" s="51" t="s">
        <v>129</v>
      </c>
      <c r="AK29" s="51">
        <v>301</v>
      </c>
      <c r="AL29" s="51" t="s">
        <v>129</v>
      </c>
      <c r="AM29" s="51">
        <v>63</v>
      </c>
      <c r="AN29" s="51" t="s">
        <v>129</v>
      </c>
      <c r="AO29" s="51">
        <v>0</v>
      </c>
      <c r="AP29" s="51" t="s">
        <v>129</v>
      </c>
      <c r="AQ29" s="51" t="s">
        <v>129</v>
      </c>
      <c r="AR29" s="51" t="s">
        <v>129</v>
      </c>
      <c r="AS29" s="51" t="s">
        <v>129</v>
      </c>
      <c r="AT29" s="51" t="s">
        <v>129</v>
      </c>
      <c r="AU29" s="51" t="s">
        <v>129</v>
      </c>
      <c r="AV29" s="51" t="s">
        <v>129</v>
      </c>
      <c r="AW29" s="51" t="s">
        <v>129</v>
      </c>
      <c r="AX29" s="51" t="s">
        <v>129</v>
      </c>
      <c r="AY29" s="51">
        <v>30</v>
      </c>
      <c r="AZ29" s="51" t="s">
        <v>129</v>
      </c>
      <c r="BA29" s="51">
        <v>182</v>
      </c>
      <c r="BB29" s="51" t="s">
        <v>129</v>
      </c>
      <c r="BC29" s="51">
        <v>113</v>
      </c>
      <c r="BD29" s="51" t="s">
        <v>129</v>
      </c>
      <c r="BE29" s="51">
        <v>0</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20</v>
      </c>
      <c r="D30" s="51" t="s">
        <v>129</v>
      </c>
      <c r="E30" s="51">
        <v>267</v>
      </c>
      <c r="F30" s="51" t="s">
        <v>129</v>
      </c>
      <c r="G30" s="51">
        <v>9</v>
      </c>
      <c r="H30" s="51" t="s">
        <v>129</v>
      </c>
      <c r="I30" s="51">
        <v>0</v>
      </c>
      <c r="J30" s="51" t="s">
        <v>129</v>
      </c>
      <c r="K30" s="51" t="s">
        <v>129</v>
      </c>
      <c r="L30" s="51" t="s">
        <v>129</v>
      </c>
      <c r="M30" s="51" t="s">
        <v>129</v>
      </c>
      <c r="N30" s="51" t="s">
        <v>129</v>
      </c>
      <c r="O30" s="51" t="s">
        <v>129</v>
      </c>
      <c r="P30" s="51" t="s">
        <v>129</v>
      </c>
      <c r="Q30" s="51" t="s">
        <v>129</v>
      </c>
      <c r="R30" s="51" t="s">
        <v>129</v>
      </c>
      <c r="S30" s="51">
        <v>71</v>
      </c>
      <c r="T30" s="51" t="s">
        <v>129</v>
      </c>
      <c r="U30" s="51">
        <v>217</v>
      </c>
      <c r="V30" s="51" t="s">
        <v>129</v>
      </c>
      <c r="W30" s="51">
        <v>57</v>
      </c>
      <c r="X30" s="51" t="s">
        <v>129</v>
      </c>
      <c r="Y30" s="51">
        <v>0</v>
      </c>
      <c r="Z30" s="51" t="s">
        <v>129</v>
      </c>
      <c r="AA30" s="51" t="s">
        <v>129</v>
      </c>
      <c r="AB30" s="51" t="s">
        <v>129</v>
      </c>
      <c r="AC30" s="51" t="s">
        <v>129</v>
      </c>
      <c r="AD30" s="51" t="s">
        <v>129</v>
      </c>
      <c r="AE30" s="51" t="s">
        <v>129</v>
      </c>
      <c r="AF30" s="51" t="s">
        <v>129</v>
      </c>
      <c r="AG30" s="51" t="s">
        <v>129</v>
      </c>
      <c r="AH30" s="51" t="s">
        <v>129</v>
      </c>
      <c r="AI30" s="51">
        <v>72</v>
      </c>
      <c r="AJ30" s="51" t="s">
        <v>129</v>
      </c>
      <c r="AK30" s="51">
        <v>294</v>
      </c>
      <c r="AL30" s="51" t="s">
        <v>129</v>
      </c>
      <c r="AM30" s="51">
        <v>44</v>
      </c>
      <c r="AN30" s="51" t="s">
        <v>129</v>
      </c>
      <c r="AO30" s="51">
        <v>0</v>
      </c>
      <c r="AP30" s="51" t="s">
        <v>129</v>
      </c>
      <c r="AQ30" s="51" t="s">
        <v>129</v>
      </c>
      <c r="AR30" s="51" t="s">
        <v>129</v>
      </c>
      <c r="AS30" s="51" t="s">
        <v>129</v>
      </c>
      <c r="AT30" s="51" t="s">
        <v>129</v>
      </c>
      <c r="AU30" s="51" t="s">
        <v>129</v>
      </c>
      <c r="AV30" s="51" t="s">
        <v>129</v>
      </c>
      <c r="AW30" s="51" t="s">
        <v>129</v>
      </c>
      <c r="AX30" s="51" t="s">
        <v>129</v>
      </c>
      <c r="AY30" s="51">
        <v>20</v>
      </c>
      <c r="AZ30" s="51" t="s">
        <v>129</v>
      </c>
      <c r="BA30" s="51">
        <v>205</v>
      </c>
      <c r="BB30" s="51" t="s">
        <v>129</v>
      </c>
      <c r="BC30" s="51">
        <v>120</v>
      </c>
      <c r="BD30" s="51" t="s">
        <v>129</v>
      </c>
      <c r="BE30" s="51">
        <v>0</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29</v>
      </c>
      <c r="D31" s="51" t="s">
        <v>129</v>
      </c>
      <c r="E31" s="51">
        <v>249</v>
      </c>
      <c r="F31" s="51" t="s">
        <v>129</v>
      </c>
      <c r="G31" s="51">
        <v>11</v>
      </c>
      <c r="H31" s="51" t="s">
        <v>129</v>
      </c>
      <c r="I31" s="51">
        <v>0</v>
      </c>
      <c r="J31" s="51" t="s">
        <v>129</v>
      </c>
      <c r="K31" s="51" t="s">
        <v>129</v>
      </c>
      <c r="L31" s="51" t="s">
        <v>129</v>
      </c>
      <c r="M31" s="51" t="s">
        <v>129</v>
      </c>
      <c r="N31" s="51" t="s">
        <v>129</v>
      </c>
      <c r="O31" s="51" t="s">
        <v>129</v>
      </c>
      <c r="P31" s="51" t="s">
        <v>129</v>
      </c>
      <c r="Q31" s="51" t="s">
        <v>129</v>
      </c>
      <c r="R31" s="51" t="s">
        <v>129</v>
      </c>
      <c r="S31" s="51">
        <v>85</v>
      </c>
      <c r="T31" s="51" t="s">
        <v>129</v>
      </c>
      <c r="U31" s="51">
        <v>178</v>
      </c>
      <c r="V31" s="51" t="s">
        <v>129</v>
      </c>
      <c r="W31" s="51">
        <v>71</v>
      </c>
      <c r="X31" s="51" t="s">
        <v>129</v>
      </c>
      <c r="Y31" s="51">
        <v>0</v>
      </c>
      <c r="Z31" s="51" t="s">
        <v>129</v>
      </c>
      <c r="AA31" s="51" t="s">
        <v>129</v>
      </c>
      <c r="AB31" s="51" t="s">
        <v>129</v>
      </c>
      <c r="AC31" s="51" t="s">
        <v>129</v>
      </c>
      <c r="AD31" s="51" t="s">
        <v>129</v>
      </c>
      <c r="AE31" s="51" t="s">
        <v>129</v>
      </c>
      <c r="AF31" s="51" t="s">
        <v>129</v>
      </c>
      <c r="AG31" s="51" t="s">
        <v>129</v>
      </c>
      <c r="AH31" s="51" t="s">
        <v>129</v>
      </c>
      <c r="AI31" s="51">
        <v>69</v>
      </c>
      <c r="AJ31" s="51" t="s">
        <v>129</v>
      </c>
      <c r="AK31" s="51">
        <v>353</v>
      </c>
      <c r="AL31" s="51" t="s">
        <v>129</v>
      </c>
      <c r="AM31" s="51">
        <v>51</v>
      </c>
      <c r="AN31" s="51" t="s">
        <v>129</v>
      </c>
      <c r="AO31" s="51">
        <v>0</v>
      </c>
      <c r="AP31" s="51" t="s">
        <v>129</v>
      </c>
      <c r="AQ31" s="51" t="s">
        <v>129</v>
      </c>
      <c r="AR31" s="51" t="s">
        <v>129</v>
      </c>
      <c r="AS31" s="51" t="s">
        <v>129</v>
      </c>
      <c r="AT31" s="51" t="s">
        <v>129</v>
      </c>
      <c r="AU31" s="51" t="s">
        <v>129</v>
      </c>
      <c r="AV31" s="51" t="s">
        <v>129</v>
      </c>
      <c r="AW31" s="51" t="s">
        <v>129</v>
      </c>
      <c r="AX31" s="51" t="s">
        <v>129</v>
      </c>
      <c r="AY31" s="51">
        <v>21</v>
      </c>
      <c r="AZ31" s="51" t="s">
        <v>129</v>
      </c>
      <c r="BA31" s="51">
        <v>178</v>
      </c>
      <c r="BB31" s="51" t="s">
        <v>129</v>
      </c>
      <c r="BC31" s="51">
        <v>147</v>
      </c>
      <c r="BD31" s="51" t="s">
        <v>129</v>
      </c>
      <c r="BE31" s="51">
        <v>0</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24</v>
      </c>
      <c r="D32" s="51" t="s">
        <v>129</v>
      </c>
      <c r="E32" s="51">
        <v>276</v>
      </c>
      <c r="F32" s="51" t="s">
        <v>129</v>
      </c>
      <c r="G32" s="51">
        <v>7</v>
      </c>
      <c r="H32" s="51" t="s">
        <v>129</v>
      </c>
      <c r="I32" s="51">
        <v>0</v>
      </c>
      <c r="J32" s="51" t="s">
        <v>129</v>
      </c>
      <c r="K32" s="51" t="s">
        <v>129</v>
      </c>
      <c r="L32" s="51" t="s">
        <v>129</v>
      </c>
      <c r="M32" s="51" t="s">
        <v>129</v>
      </c>
      <c r="N32" s="51" t="s">
        <v>129</v>
      </c>
      <c r="O32" s="51" t="s">
        <v>129</v>
      </c>
      <c r="P32" s="51" t="s">
        <v>129</v>
      </c>
      <c r="Q32" s="51" t="s">
        <v>129</v>
      </c>
      <c r="R32" s="51" t="s">
        <v>129</v>
      </c>
      <c r="S32" s="51">
        <v>72</v>
      </c>
      <c r="T32" s="51" t="s">
        <v>129</v>
      </c>
      <c r="U32" s="51">
        <v>209</v>
      </c>
      <c r="V32" s="51" t="s">
        <v>129</v>
      </c>
      <c r="W32" s="51">
        <v>75</v>
      </c>
      <c r="X32" s="51" t="s">
        <v>129</v>
      </c>
      <c r="Y32" s="51">
        <v>1</v>
      </c>
      <c r="Z32" s="51" t="s">
        <v>129</v>
      </c>
      <c r="AA32" s="51" t="s">
        <v>129</v>
      </c>
      <c r="AB32" s="51" t="s">
        <v>129</v>
      </c>
      <c r="AC32" s="51" t="s">
        <v>129</v>
      </c>
      <c r="AD32" s="51" t="s">
        <v>129</v>
      </c>
      <c r="AE32" s="51" t="s">
        <v>129</v>
      </c>
      <c r="AF32" s="51" t="s">
        <v>129</v>
      </c>
      <c r="AG32" s="51" t="s">
        <v>129</v>
      </c>
      <c r="AH32" s="51" t="s">
        <v>129</v>
      </c>
      <c r="AI32" s="51">
        <v>60</v>
      </c>
      <c r="AJ32" s="51" t="s">
        <v>129</v>
      </c>
      <c r="AK32" s="51">
        <v>278</v>
      </c>
      <c r="AL32" s="51" t="s">
        <v>129</v>
      </c>
      <c r="AM32" s="51">
        <v>43</v>
      </c>
      <c r="AN32" s="51" t="s">
        <v>129</v>
      </c>
      <c r="AO32" s="51">
        <v>0</v>
      </c>
      <c r="AP32" s="51" t="s">
        <v>129</v>
      </c>
      <c r="AQ32" s="51" t="s">
        <v>129</v>
      </c>
      <c r="AR32" s="51" t="s">
        <v>129</v>
      </c>
      <c r="AS32" s="51" t="s">
        <v>129</v>
      </c>
      <c r="AT32" s="51" t="s">
        <v>129</v>
      </c>
      <c r="AU32" s="51" t="s">
        <v>129</v>
      </c>
      <c r="AV32" s="51" t="s">
        <v>129</v>
      </c>
      <c r="AW32" s="51" t="s">
        <v>129</v>
      </c>
      <c r="AX32" s="51" t="s">
        <v>129</v>
      </c>
      <c r="AY32" s="51">
        <v>18</v>
      </c>
      <c r="AZ32" s="51" t="s">
        <v>129</v>
      </c>
      <c r="BA32" s="51">
        <v>200</v>
      </c>
      <c r="BB32" s="51" t="s">
        <v>129</v>
      </c>
      <c r="BC32" s="51">
        <v>128</v>
      </c>
      <c r="BD32" s="51" t="s">
        <v>129</v>
      </c>
      <c r="BE32" s="51">
        <v>0</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21</v>
      </c>
      <c r="D33" s="51" t="s">
        <v>129</v>
      </c>
      <c r="E33" s="51">
        <v>250</v>
      </c>
      <c r="F33" s="51" t="s">
        <v>129</v>
      </c>
      <c r="G33" s="51">
        <v>8</v>
      </c>
      <c r="H33" s="51" t="s">
        <v>129</v>
      </c>
      <c r="I33" s="51">
        <v>0</v>
      </c>
      <c r="J33" s="51" t="s">
        <v>129</v>
      </c>
      <c r="K33" s="51" t="s">
        <v>129</v>
      </c>
      <c r="L33" s="51" t="s">
        <v>129</v>
      </c>
      <c r="M33" s="51" t="s">
        <v>129</v>
      </c>
      <c r="N33" s="51" t="s">
        <v>129</v>
      </c>
      <c r="O33" s="51" t="s">
        <v>129</v>
      </c>
      <c r="P33" s="51" t="s">
        <v>129</v>
      </c>
      <c r="Q33" s="51" t="s">
        <v>129</v>
      </c>
      <c r="R33" s="51" t="s">
        <v>129</v>
      </c>
      <c r="S33" s="51">
        <v>68</v>
      </c>
      <c r="T33" s="51" t="s">
        <v>129</v>
      </c>
      <c r="U33" s="51">
        <v>170</v>
      </c>
      <c r="V33" s="51" t="s">
        <v>129</v>
      </c>
      <c r="W33" s="51">
        <v>55</v>
      </c>
      <c r="X33" s="51" t="s">
        <v>129</v>
      </c>
      <c r="Y33" s="51">
        <v>0</v>
      </c>
      <c r="Z33" s="51" t="s">
        <v>129</v>
      </c>
      <c r="AA33" s="51" t="s">
        <v>129</v>
      </c>
      <c r="AB33" s="51" t="s">
        <v>129</v>
      </c>
      <c r="AC33" s="51" t="s">
        <v>129</v>
      </c>
      <c r="AD33" s="51" t="s">
        <v>129</v>
      </c>
      <c r="AE33" s="51" t="s">
        <v>129</v>
      </c>
      <c r="AF33" s="51" t="s">
        <v>129</v>
      </c>
      <c r="AG33" s="51" t="s">
        <v>129</v>
      </c>
      <c r="AH33" s="51" t="s">
        <v>129</v>
      </c>
      <c r="AI33" s="51">
        <v>67</v>
      </c>
      <c r="AJ33" s="51" t="s">
        <v>129</v>
      </c>
      <c r="AK33" s="51">
        <v>305</v>
      </c>
      <c r="AL33" s="51" t="s">
        <v>129</v>
      </c>
      <c r="AM33" s="51">
        <v>43</v>
      </c>
      <c r="AN33" s="51" t="s">
        <v>129</v>
      </c>
      <c r="AO33" s="51">
        <v>0</v>
      </c>
      <c r="AP33" s="51" t="s">
        <v>129</v>
      </c>
      <c r="AQ33" s="51" t="s">
        <v>129</v>
      </c>
      <c r="AR33" s="51" t="s">
        <v>129</v>
      </c>
      <c r="AS33" s="51" t="s">
        <v>129</v>
      </c>
      <c r="AT33" s="51" t="s">
        <v>129</v>
      </c>
      <c r="AU33" s="51" t="s">
        <v>129</v>
      </c>
      <c r="AV33" s="51" t="s">
        <v>129</v>
      </c>
      <c r="AW33" s="51" t="s">
        <v>129</v>
      </c>
      <c r="AX33" s="51" t="s">
        <v>129</v>
      </c>
      <c r="AY33" s="51">
        <v>6</v>
      </c>
      <c r="AZ33" s="51" t="s">
        <v>129</v>
      </c>
      <c r="BA33" s="51">
        <v>129</v>
      </c>
      <c r="BB33" s="51" t="s">
        <v>129</v>
      </c>
      <c r="BC33" s="51">
        <v>87</v>
      </c>
      <c r="BD33" s="51" t="s">
        <v>129</v>
      </c>
      <c r="BE33" s="51">
        <v>0</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19</v>
      </c>
      <c r="D34" s="51" t="s">
        <v>129</v>
      </c>
      <c r="E34" s="51">
        <v>220</v>
      </c>
      <c r="F34" s="51" t="s">
        <v>129</v>
      </c>
      <c r="G34" s="51">
        <v>12</v>
      </c>
      <c r="H34" s="51" t="s">
        <v>129</v>
      </c>
      <c r="I34" s="51">
        <v>0</v>
      </c>
      <c r="J34" s="51" t="s">
        <v>129</v>
      </c>
      <c r="K34" s="51" t="s">
        <v>129</v>
      </c>
      <c r="L34" s="51" t="s">
        <v>129</v>
      </c>
      <c r="M34" s="51" t="s">
        <v>129</v>
      </c>
      <c r="N34" s="51" t="s">
        <v>129</v>
      </c>
      <c r="O34" s="51" t="s">
        <v>129</v>
      </c>
      <c r="P34" s="51" t="s">
        <v>129</v>
      </c>
      <c r="Q34" s="51" t="s">
        <v>129</v>
      </c>
      <c r="R34" s="51" t="s">
        <v>129</v>
      </c>
      <c r="S34" s="51">
        <v>62</v>
      </c>
      <c r="T34" s="51" t="s">
        <v>129</v>
      </c>
      <c r="U34" s="51">
        <v>194</v>
      </c>
      <c r="V34" s="51" t="s">
        <v>129</v>
      </c>
      <c r="W34" s="51">
        <v>55</v>
      </c>
      <c r="X34" s="51" t="s">
        <v>129</v>
      </c>
      <c r="Y34" s="51">
        <v>0</v>
      </c>
      <c r="Z34" s="51" t="s">
        <v>129</v>
      </c>
      <c r="AA34" s="51" t="s">
        <v>129</v>
      </c>
      <c r="AB34" s="51" t="s">
        <v>129</v>
      </c>
      <c r="AC34" s="51" t="s">
        <v>129</v>
      </c>
      <c r="AD34" s="51" t="s">
        <v>129</v>
      </c>
      <c r="AE34" s="51" t="s">
        <v>129</v>
      </c>
      <c r="AF34" s="51" t="s">
        <v>129</v>
      </c>
      <c r="AG34" s="51" t="s">
        <v>129</v>
      </c>
      <c r="AH34" s="51" t="s">
        <v>129</v>
      </c>
      <c r="AI34" s="51">
        <v>63</v>
      </c>
      <c r="AJ34" s="51" t="s">
        <v>129</v>
      </c>
      <c r="AK34" s="51">
        <v>253</v>
      </c>
      <c r="AL34" s="51" t="s">
        <v>129</v>
      </c>
      <c r="AM34" s="51">
        <v>49</v>
      </c>
      <c r="AN34" s="51" t="s">
        <v>129</v>
      </c>
      <c r="AO34" s="51">
        <v>0</v>
      </c>
      <c r="AP34" s="51" t="s">
        <v>129</v>
      </c>
      <c r="AQ34" s="51" t="s">
        <v>129</v>
      </c>
      <c r="AR34" s="51" t="s">
        <v>129</v>
      </c>
      <c r="AS34" s="51" t="s">
        <v>129</v>
      </c>
      <c r="AT34" s="51" t="s">
        <v>129</v>
      </c>
      <c r="AU34" s="51" t="s">
        <v>129</v>
      </c>
      <c r="AV34" s="51" t="s">
        <v>129</v>
      </c>
      <c r="AW34" s="51" t="s">
        <v>129</v>
      </c>
      <c r="AX34" s="51" t="s">
        <v>129</v>
      </c>
      <c r="AY34" s="51">
        <v>4</v>
      </c>
      <c r="AZ34" s="51" t="s">
        <v>129</v>
      </c>
      <c r="BA34" s="51">
        <v>96</v>
      </c>
      <c r="BB34" s="51" t="s">
        <v>129</v>
      </c>
      <c r="BC34" s="51">
        <v>65</v>
      </c>
      <c r="BD34" s="51" t="s">
        <v>129</v>
      </c>
      <c r="BE34" s="51">
        <v>0</v>
      </c>
      <c r="BF34" s="51" t="s">
        <v>129</v>
      </c>
      <c r="BG34" s="51" t="s">
        <v>129</v>
      </c>
      <c r="BH34" s="51" t="s">
        <v>129</v>
      </c>
      <c r="BI34" s="51" t="s">
        <v>129</v>
      </c>
      <c r="BJ34" s="51" t="s">
        <v>129</v>
      </c>
      <c r="BK34" s="51" t="s">
        <v>129</v>
      </c>
      <c r="BL34" s="51" t="s">
        <v>129</v>
      </c>
      <c r="BM34" s="51"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AP13:AW13"/>
    <mergeCell ref="AX13:BE13"/>
    <mergeCell ref="BF13:BM13"/>
    <mergeCell ref="B13:I13"/>
    <mergeCell ref="J13:Q13"/>
    <mergeCell ref="R13:Y13"/>
    <mergeCell ref="Z13:AG13"/>
    <mergeCell ref="AH13:AO13"/>
  </mergeCells>
  <pageMargins left="0.75" right="0.75" top="1" bottom="1" header="0.5" footer="0.5"/>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8279C-0DE6-4648-AFDB-F1E01F2C8BA0}">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61" t="s">
        <v>173</v>
      </c>
      <c r="B1" s="61"/>
      <c r="C1" s="66" t="s">
        <v>175</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1" t="s">
        <v>172</v>
      </c>
      <c r="B2" s="61"/>
      <c r="C2" s="68">
        <v>44291</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1" t="s">
        <v>9</v>
      </c>
      <c r="B3" s="61"/>
      <c r="C3" s="67">
        <v>0.29166666666666669</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1" t="s">
        <v>171</v>
      </c>
      <c r="B4" s="61"/>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1" t="s">
        <v>170</v>
      </c>
      <c r="B5" s="61"/>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1" t="s">
        <v>129</v>
      </c>
      <c r="B6" s="61"/>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1" t="s">
        <v>129</v>
      </c>
      <c r="B7" s="61"/>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1" t="s">
        <v>129</v>
      </c>
      <c r="B8" s="61"/>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1" t="s">
        <v>129</v>
      </c>
      <c r="B9" s="61"/>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1" t="s">
        <v>169</v>
      </c>
      <c r="B10" s="61"/>
      <c r="C10" s="62" t="s">
        <v>168</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1" t="s">
        <v>167</v>
      </c>
      <c r="B11" s="61"/>
      <c r="C11" s="66" t="s">
        <v>89</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1" t="s">
        <v>129</v>
      </c>
      <c r="B12" s="63" t="s">
        <v>165</v>
      </c>
      <c r="C12" s="64"/>
      <c r="D12" s="64"/>
      <c r="E12" s="64"/>
      <c r="F12" s="64"/>
      <c r="G12" s="64"/>
      <c r="H12" s="64"/>
      <c r="I12" s="65"/>
      <c r="J12" s="63" t="s">
        <v>161</v>
      </c>
      <c r="K12" s="64"/>
      <c r="L12" s="64"/>
      <c r="M12" s="64"/>
      <c r="N12" s="64"/>
      <c r="O12" s="64"/>
      <c r="P12" s="64"/>
      <c r="Q12" s="65"/>
      <c r="R12" s="63" t="s">
        <v>164</v>
      </c>
      <c r="S12" s="64"/>
      <c r="T12" s="64"/>
      <c r="U12" s="64"/>
      <c r="V12" s="64"/>
      <c r="W12" s="64"/>
      <c r="X12" s="64"/>
      <c r="Y12" s="65"/>
      <c r="Z12" s="63" t="s">
        <v>161</v>
      </c>
      <c r="AA12" s="64"/>
      <c r="AB12" s="64"/>
      <c r="AC12" s="64"/>
      <c r="AD12" s="64"/>
      <c r="AE12" s="64"/>
      <c r="AF12" s="64"/>
      <c r="AG12" s="65"/>
      <c r="AH12" s="63" t="s">
        <v>163</v>
      </c>
      <c r="AI12" s="64"/>
      <c r="AJ12" s="64"/>
      <c r="AK12" s="64"/>
      <c r="AL12" s="64"/>
      <c r="AM12" s="64"/>
      <c r="AN12" s="64"/>
      <c r="AO12" s="65"/>
      <c r="AP12" s="63" t="s">
        <v>161</v>
      </c>
      <c r="AQ12" s="64"/>
      <c r="AR12" s="64"/>
      <c r="AS12" s="64"/>
      <c r="AT12" s="64"/>
      <c r="AU12" s="64"/>
      <c r="AV12" s="64"/>
      <c r="AW12" s="65"/>
      <c r="AX12" s="63" t="s">
        <v>162</v>
      </c>
      <c r="AY12" s="64"/>
      <c r="AZ12" s="64"/>
      <c r="BA12" s="64"/>
      <c r="BB12" s="64"/>
      <c r="BC12" s="64"/>
      <c r="BD12" s="64"/>
      <c r="BE12" s="65"/>
      <c r="BF12" s="63" t="s">
        <v>161</v>
      </c>
      <c r="BG12" s="64"/>
      <c r="BH12" s="64"/>
      <c r="BI12" s="64"/>
      <c r="BJ12" s="64"/>
      <c r="BK12" s="64"/>
      <c r="BL12" s="64"/>
      <c r="BM12" s="65"/>
    </row>
    <row r="13" spans="1:65" ht="15" customHeight="1" x14ac:dyDescent="0.2">
      <c r="A13" s="51" t="s">
        <v>129</v>
      </c>
      <c r="B13" s="58" t="s">
        <v>160</v>
      </c>
      <c r="C13" s="59"/>
      <c r="D13" s="59"/>
      <c r="E13" s="59"/>
      <c r="F13" s="59"/>
      <c r="G13" s="59"/>
      <c r="H13" s="59"/>
      <c r="I13" s="60"/>
      <c r="J13" s="58" t="s">
        <v>159</v>
      </c>
      <c r="K13" s="59"/>
      <c r="L13" s="59"/>
      <c r="M13" s="59"/>
      <c r="N13" s="59"/>
      <c r="O13" s="59"/>
      <c r="P13" s="59"/>
      <c r="Q13" s="60"/>
      <c r="R13" s="58" t="s">
        <v>158</v>
      </c>
      <c r="S13" s="59"/>
      <c r="T13" s="59"/>
      <c r="U13" s="59"/>
      <c r="V13" s="59"/>
      <c r="W13" s="59"/>
      <c r="X13" s="59"/>
      <c r="Y13" s="60"/>
      <c r="Z13" s="58" t="s">
        <v>157</v>
      </c>
      <c r="AA13" s="59"/>
      <c r="AB13" s="59"/>
      <c r="AC13" s="59"/>
      <c r="AD13" s="59"/>
      <c r="AE13" s="59"/>
      <c r="AF13" s="59"/>
      <c r="AG13" s="60"/>
      <c r="AH13" s="58" t="s">
        <v>156</v>
      </c>
      <c r="AI13" s="59"/>
      <c r="AJ13" s="59"/>
      <c r="AK13" s="59"/>
      <c r="AL13" s="59"/>
      <c r="AM13" s="59"/>
      <c r="AN13" s="59"/>
      <c r="AO13" s="60"/>
      <c r="AP13" s="58" t="s">
        <v>155</v>
      </c>
      <c r="AQ13" s="59"/>
      <c r="AR13" s="59"/>
      <c r="AS13" s="59"/>
      <c r="AT13" s="59"/>
      <c r="AU13" s="59"/>
      <c r="AV13" s="59"/>
      <c r="AW13" s="60"/>
      <c r="AX13" s="58" t="s">
        <v>154</v>
      </c>
      <c r="AY13" s="59"/>
      <c r="AZ13" s="59"/>
      <c r="BA13" s="59"/>
      <c r="BB13" s="59"/>
      <c r="BC13" s="59"/>
      <c r="BD13" s="59"/>
      <c r="BE13" s="60"/>
      <c r="BF13" s="58" t="s">
        <v>153</v>
      </c>
      <c r="BG13" s="59"/>
      <c r="BH13" s="59"/>
      <c r="BI13" s="59"/>
      <c r="BJ13" s="59"/>
      <c r="BK13" s="59"/>
      <c r="BL13" s="59"/>
      <c r="BM13" s="60"/>
    </row>
    <row r="14" spans="1:65" ht="15" customHeight="1" x14ac:dyDescent="0.2">
      <c r="A14" s="53" t="s">
        <v>9</v>
      </c>
      <c r="B14" s="53" t="s">
        <v>152</v>
      </c>
      <c r="C14" s="53" t="s">
        <v>151</v>
      </c>
      <c r="D14" s="53" t="s">
        <v>150</v>
      </c>
      <c r="E14" s="53" t="s">
        <v>149</v>
      </c>
      <c r="F14" s="53" t="s">
        <v>148</v>
      </c>
      <c r="G14" s="53" t="s">
        <v>147</v>
      </c>
      <c r="H14" s="53" t="s">
        <v>146</v>
      </c>
      <c r="I14" s="53" t="s">
        <v>100</v>
      </c>
      <c r="J14" s="53" t="s">
        <v>152</v>
      </c>
      <c r="K14" s="53" t="s">
        <v>151</v>
      </c>
      <c r="L14" s="53" t="s">
        <v>150</v>
      </c>
      <c r="M14" s="53" t="s">
        <v>149</v>
      </c>
      <c r="N14" s="53" t="s">
        <v>148</v>
      </c>
      <c r="O14" s="53" t="s">
        <v>147</v>
      </c>
      <c r="P14" s="53" t="s">
        <v>146</v>
      </c>
      <c r="Q14" s="53" t="s">
        <v>100</v>
      </c>
      <c r="R14" s="53" t="s">
        <v>152</v>
      </c>
      <c r="S14" s="53" t="s">
        <v>151</v>
      </c>
      <c r="T14" s="53" t="s">
        <v>150</v>
      </c>
      <c r="U14" s="53" t="s">
        <v>149</v>
      </c>
      <c r="V14" s="53" t="s">
        <v>148</v>
      </c>
      <c r="W14" s="53" t="s">
        <v>147</v>
      </c>
      <c r="X14" s="53" t="s">
        <v>146</v>
      </c>
      <c r="Y14" s="53" t="s">
        <v>100</v>
      </c>
      <c r="Z14" s="53" t="s">
        <v>152</v>
      </c>
      <c r="AA14" s="53" t="s">
        <v>151</v>
      </c>
      <c r="AB14" s="53" t="s">
        <v>150</v>
      </c>
      <c r="AC14" s="53" t="s">
        <v>149</v>
      </c>
      <c r="AD14" s="53" t="s">
        <v>148</v>
      </c>
      <c r="AE14" s="53" t="s">
        <v>147</v>
      </c>
      <c r="AF14" s="53" t="s">
        <v>146</v>
      </c>
      <c r="AG14" s="53" t="s">
        <v>100</v>
      </c>
      <c r="AH14" s="53" t="s">
        <v>152</v>
      </c>
      <c r="AI14" s="53" t="s">
        <v>151</v>
      </c>
      <c r="AJ14" s="53" t="s">
        <v>150</v>
      </c>
      <c r="AK14" s="53" t="s">
        <v>149</v>
      </c>
      <c r="AL14" s="53" t="s">
        <v>148</v>
      </c>
      <c r="AM14" s="53" t="s">
        <v>147</v>
      </c>
      <c r="AN14" s="53" t="s">
        <v>146</v>
      </c>
      <c r="AO14" s="53" t="s">
        <v>100</v>
      </c>
      <c r="AP14" s="53" t="s">
        <v>152</v>
      </c>
      <c r="AQ14" s="53" t="s">
        <v>151</v>
      </c>
      <c r="AR14" s="53" t="s">
        <v>150</v>
      </c>
      <c r="AS14" s="53" t="s">
        <v>149</v>
      </c>
      <c r="AT14" s="53" t="s">
        <v>148</v>
      </c>
      <c r="AU14" s="53" t="s">
        <v>147</v>
      </c>
      <c r="AV14" s="53" t="s">
        <v>146</v>
      </c>
      <c r="AW14" s="53" t="s">
        <v>100</v>
      </c>
      <c r="AX14" s="53" t="s">
        <v>152</v>
      </c>
      <c r="AY14" s="53" t="s">
        <v>151</v>
      </c>
      <c r="AZ14" s="53" t="s">
        <v>150</v>
      </c>
      <c r="BA14" s="53" t="s">
        <v>149</v>
      </c>
      <c r="BB14" s="53" t="s">
        <v>148</v>
      </c>
      <c r="BC14" s="53" t="s">
        <v>147</v>
      </c>
      <c r="BD14" s="53" t="s">
        <v>146</v>
      </c>
      <c r="BE14" s="53" t="s">
        <v>100</v>
      </c>
      <c r="BF14" s="53" t="s">
        <v>152</v>
      </c>
      <c r="BG14" s="53" t="s">
        <v>151</v>
      </c>
      <c r="BH14" s="53" t="s">
        <v>150</v>
      </c>
      <c r="BI14" s="53" t="s">
        <v>149</v>
      </c>
      <c r="BJ14" s="53" t="s">
        <v>148</v>
      </c>
      <c r="BK14" s="53" t="s">
        <v>147</v>
      </c>
      <c r="BL14" s="53" t="s">
        <v>146</v>
      </c>
      <c r="BM14" s="53" t="s">
        <v>100</v>
      </c>
    </row>
    <row r="15" spans="1:65" ht="15" customHeight="1" x14ac:dyDescent="0.2">
      <c r="A15" s="51" t="s">
        <v>145</v>
      </c>
      <c r="C15" s="51">
        <v>1</v>
      </c>
      <c r="E15" s="51">
        <v>10</v>
      </c>
      <c r="F15" s="51" t="s">
        <v>129</v>
      </c>
      <c r="G15" s="51">
        <v>2</v>
      </c>
      <c r="H15" s="51" t="s">
        <v>129</v>
      </c>
      <c r="I15" s="51">
        <v>0</v>
      </c>
      <c r="J15" s="51" t="s">
        <v>129</v>
      </c>
      <c r="K15" s="51" t="s">
        <v>129</v>
      </c>
      <c r="L15" s="51" t="s">
        <v>129</v>
      </c>
      <c r="M15" s="51" t="s">
        <v>129</v>
      </c>
      <c r="N15" s="51" t="s">
        <v>129</v>
      </c>
      <c r="O15" s="51" t="s">
        <v>129</v>
      </c>
      <c r="P15" s="51" t="s">
        <v>129</v>
      </c>
      <c r="Q15" s="51" t="s">
        <v>129</v>
      </c>
      <c r="R15" s="51" t="s">
        <v>129</v>
      </c>
      <c r="S15" s="51">
        <v>2</v>
      </c>
      <c r="T15" s="51" t="s">
        <v>129</v>
      </c>
      <c r="U15" s="51">
        <v>8</v>
      </c>
      <c r="V15" s="51" t="s">
        <v>129</v>
      </c>
      <c r="W15" s="51">
        <v>1</v>
      </c>
      <c r="X15" s="51" t="s">
        <v>129</v>
      </c>
      <c r="Y15" s="51">
        <v>0</v>
      </c>
      <c r="Z15" s="51" t="s">
        <v>129</v>
      </c>
      <c r="AA15" s="51" t="s">
        <v>129</v>
      </c>
      <c r="AB15" s="51" t="s">
        <v>129</v>
      </c>
      <c r="AC15" s="51" t="s">
        <v>129</v>
      </c>
      <c r="AD15" s="51" t="s">
        <v>129</v>
      </c>
      <c r="AE15" s="51" t="s">
        <v>129</v>
      </c>
      <c r="AF15" s="51" t="s">
        <v>129</v>
      </c>
      <c r="AG15" s="51" t="s">
        <v>129</v>
      </c>
      <c r="AH15" s="51" t="s">
        <v>129</v>
      </c>
      <c r="AI15" s="51">
        <v>11</v>
      </c>
      <c r="AJ15" s="51" t="s">
        <v>129</v>
      </c>
      <c r="AK15" s="51">
        <v>8</v>
      </c>
      <c r="AL15" s="51" t="s">
        <v>129</v>
      </c>
      <c r="AM15" s="51">
        <v>4</v>
      </c>
      <c r="AN15" s="51" t="s">
        <v>129</v>
      </c>
      <c r="AO15" s="51">
        <v>0</v>
      </c>
      <c r="AP15" s="51" t="s">
        <v>129</v>
      </c>
      <c r="AQ15" s="51" t="s">
        <v>129</v>
      </c>
      <c r="AR15" s="51" t="s">
        <v>129</v>
      </c>
      <c r="AS15" s="51" t="s">
        <v>129</v>
      </c>
      <c r="AT15" s="51" t="s">
        <v>129</v>
      </c>
      <c r="AU15" s="51" t="s">
        <v>129</v>
      </c>
      <c r="AV15" s="51" t="s">
        <v>129</v>
      </c>
      <c r="AW15" s="51" t="s">
        <v>129</v>
      </c>
      <c r="AX15" s="51" t="s">
        <v>129</v>
      </c>
      <c r="AY15" s="51">
        <v>2</v>
      </c>
      <c r="AZ15" s="51" t="s">
        <v>129</v>
      </c>
      <c r="BA15" s="51">
        <v>9</v>
      </c>
      <c r="BB15" s="51" t="s">
        <v>129</v>
      </c>
      <c r="BC15" s="51">
        <v>8</v>
      </c>
      <c r="BD15" s="51" t="s">
        <v>129</v>
      </c>
      <c r="BE15" s="51">
        <v>0</v>
      </c>
      <c r="BF15" s="51" t="s">
        <v>129</v>
      </c>
      <c r="BG15" s="51" t="s">
        <v>129</v>
      </c>
      <c r="BH15" s="51" t="s">
        <v>129</v>
      </c>
      <c r="BI15" s="51" t="s">
        <v>129</v>
      </c>
      <c r="BJ15" s="51" t="s">
        <v>129</v>
      </c>
      <c r="BK15" s="51" t="s">
        <v>129</v>
      </c>
      <c r="BL15" s="51" t="s">
        <v>129</v>
      </c>
      <c r="BM15" s="51" t="s">
        <v>129</v>
      </c>
    </row>
    <row r="16" spans="1:65" ht="15" customHeight="1" x14ac:dyDescent="0.2">
      <c r="A16" s="51" t="s">
        <v>144</v>
      </c>
      <c r="C16" s="51">
        <v>0</v>
      </c>
      <c r="E16" s="51">
        <v>12</v>
      </c>
      <c r="F16" s="51" t="s">
        <v>129</v>
      </c>
      <c r="G16" s="51">
        <v>1</v>
      </c>
      <c r="H16" s="51" t="s">
        <v>129</v>
      </c>
      <c r="I16" s="51">
        <v>0</v>
      </c>
      <c r="J16" s="51" t="s">
        <v>129</v>
      </c>
      <c r="K16" s="51" t="s">
        <v>129</v>
      </c>
      <c r="L16" s="51" t="s">
        <v>129</v>
      </c>
      <c r="M16" s="51" t="s">
        <v>129</v>
      </c>
      <c r="N16" s="51" t="s">
        <v>129</v>
      </c>
      <c r="O16" s="51" t="s">
        <v>129</v>
      </c>
      <c r="P16" s="51" t="s">
        <v>129</v>
      </c>
      <c r="Q16" s="51" t="s">
        <v>129</v>
      </c>
      <c r="R16" s="51" t="s">
        <v>129</v>
      </c>
      <c r="S16" s="51">
        <v>1</v>
      </c>
      <c r="T16" s="51" t="s">
        <v>129</v>
      </c>
      <c r="U16" s="51">
        <v>11</v>
      </c>
      <c r="V16" s="51" t="s">
        <v>129</v>
      </c>
      <c r="W16" s="51">
        <v>4</v>
      </c>
      <c r="X16" s="51" t="s">
        <v>129</v>
      </c>
      <c r="Y16" s="51">
        <v>0</v>
      </c>
      <c r="Z16" s="51" t="s">
        <v>129</v>
      </c>
      <c r="AA16" s="51" t="s">
        <v>129</v>
      </c>
      <c r="AB16" s="51" t="s">
        <v>129</v>
      </c>
      <c r="AC16" s="51" t="s">
        <v>129</v>
      </c>
      <c r="AD16" s="51" t="s">
        <v>129</v>
      </c>
      <c r="AE16" s="51" t="s">
        <v>129</v>
      </c>
      <c r="AF16" s="51" t="s">
        <v>129</v>
      </c>
      <c r="AG16" s="51" t="s">
        <v>129</v>
      </c>
      <c r="AH16" s="51" t="s">
        <v>129</v>
      </c>
      <c r="AI16" s="51">
        <v>9</v>
      </c>
      <c r="AJ16" s="51" t="s">
        <v>129</v>
      </c>
      <c r="AK16" s="51">
        <v>9</v>
      </c>
      <c r="AL16" s="51" t="s">
        <v>129</v>
      </c>
      <c r="AM16" s="51">
        <v>7</v>
      </c>
      <c r="AN16" s="51" t="s">
        <v>129</v>
      </c>
      <c r="AO16" s="51">
        <v>0</v>
      </c>
      <c r="AP16" s="51" t="s">
        <v>129</v>
      </c>
      <c r="AQ16" s="51" t="s">
        <v>129</v>
      </c>
      <c r="AR16" s="51" t="s">
        <v>129</v>
      </c>
      <c r="AS16" s="51" t="s">
        <v>129</v>
      </c>
      <c r="AT16" s="51" t="s">
        <v>129</v>
      </c>
      <c r="AU16" s="51" t="s">
        <v>129</v>
      </c>
      <c r="AV16" s="51" t="s">
        <v>129</v>
      </c>
      <c r="AW16" s="51" t="s">
        <v>129</v>
      </c>
      <c r="AX16" s="51" t="s">
        <v>129</v>
      </c>
      <c r="AY16" s="51">
        <v>0</v>
      </c>
      <c r="AZ16" s="51" t="s">
        <v>129</v>
      </c>
      <c r="BA16" s="51">
        <v>9</v>
      </c>
      <c r="BB16" s="51" t="s">
        <v>129</v>
      </c>
      <c r="BC16" s="51">
        <v>7</v>
      </c>
      <c r="BD16" s="51" t="s">
        <v>129</v>
      </c>
      <c r="BE16" s="51">
        <v>0</v>
      </c>
      <c r="BF16" s="51" t="s">
        <v>129</v>
      </c>
      <c r="BG16" s="51" t="s">
        <v>129</v>
      </c>
      <c r="BH16" s="51" t="s">
        <v>129</v>
      </c>
      <c r="BI16" s="51" t="s">
        <v>129</v>
      </c>
      <c r="BJ16" s="51" t="s">
        <v>129</v>
      </c>
      <c r="BK16" s="51" t="s">
        <v>129</v>
      </c>
      <c r="BL16" s="51" t="s">
        <v>129</v>
      </c>
      <c r="BM16" s="51" t="s">
        <v>129</v>
      </c>
    </row>
    <row r="17" spans="1:65" ht="15" customHeight="1" x14ac:dyDescent="0.2">
      <c r="A17" s="51" t="s">
        <v>143</v>
      </c>
      <c r="C17" s="51">
        <v>0</v>
      </c>
      <c r="E17" s="51">
        <v>11</v>
      </c>
      <c r="F17" s="51" t="s">
        <v>129</v>
      </c>
      <c r="G17" s="51">
        <v>1</v>
      </c>
      <c r="H17" s="51" t="s">
        <v>129</v>
      </c>
      <c r="I17" s="51">
        <v>0</v>
      </c>
      <c r="J17" s="51" t="s">
        <v>129</v>
      </c>
      <c r="K17" s="51" t="s">
        <v>129</v>
      </c>
      <c r="L17" s="51" t="s">
        <v>129</v>
      </c>
      <c r="M17" s="51" t="s">
        <v>129</v>
      </c>
      <c r="N17" s="51" t="s">
        <v>129</v>
      </c>
      <c r="O17" s="51" t="s">
        <v>129</v>
      </c>
      <c r="P17" s="51" t="s">
        <v>129</v>
      </c>
      <c r="Q17" s="51" t="s">
        <v>129</v>
      </c>
      <c r="R17" s="51" t="s">
        <v>129</v>
      </c>
      <c r="S17" s="51">
        <v>2</v>
      </c>
      <c r="T17" s="51" t="s">
        <v>129</v>
      </c>
      <c r="U17" s="51">
        <v>8</v>
      </c>
      <c r="V17" s="51" t="s">
        <v>129</v>
      </c>
      <c r="W17" s="51">
        <v>2</v>
      </c>
      <c r="X17" s="51" t="s">
        <v>129</v>
      </c>
      <c r="Y17" s="51">
        <v>0</v>
      </c>
      <c r="Z17" s="51" t="s">
        <v>129</v>
      </c>
      <c r="AA17" s="51" t="s">
        <v>129</v>
      </c>
      <c r="AB17" s="51" t="s">
        <v>129</v>
      </c>
      <c r="AC17" s="51" t="s">
        <v>129</v>
      </c>
      <c r="AD17" s="51" t="s">
        <v>129</v>
      </c>
      <c r="AE17" s="51" t="s">
        <v>129</v>
      </c>
      <c r="AF17" s="51" t="s">
        <v>129</v>
      </c>
      <c r="AG17" s="51" t="s">
        <v>129</v>
      </c>
      <c r="AH17" s="51" t="s">
        <v>129</v>
      </c>
      <c r="AI17" s="51">
        <v>10</v>
      </c>
      <c r="AJ17" s="51" t="s">
        <v>129</v>
      </c>
      <c r="AK17" s="51">
        <v>12</v>
      </c>
      <c r="AL17" s="51" t="s">
        <v>129</v>
      </c>
      <c r="AM17" s="51">
        <v>3</v>
      </c>
      <c r="AN17" s="51" t="s">
        <v>129</v>
      </c>
      <c r="AO17" s="51">
        <v>0</v>
      </c>
      <c r="AP17" s="51" t="s">
        <v>129</v>
      </c>
      <c r="AQ17" s="51" t="s">
        <v>129</v>
      </c>
      <c r="AR17" s="51" t="s">
        <v>129</v>
      </c>
      <c r="AS17" s="51" t="s">
        <v>129</v>
      </c>
      <c r="AT17" s="51" t="s">
        <v>129</v>
      </c>
      <c r="AU17" s="51" t="s">
        <v>129</v>
      </c>
      <c r="AV17" s="51" t="s">
        <v>129</v>
      </c>
      <c r="AW17" s="51" t="s">
        <v>129</v>
      </c>
      <c r="AX17" s="51" t="s">
        <v>129</v>
      </c>
      <c r="AY17" s="51">
        <v>1</v>
      </c>
      <c r="AZ17" s="51" t="s">
        <v>129</v>
      </c>
      <c r="BA17" s="51">
        <v>14</v>
      </c>
      <c r="BB17" s="51" t="s">
        <v>129</v>
      </c>
      <c r="BC17" s="51">
        <v>5</v>
      </c>
      <c r="BD17" s="51" t="s">
        <v>129</v>
      </c>
      <c r="BE17" s="51">
        <v>0</v>
      </c>
      <c r="BF17" s="51" t="s">
        <v>129</v>
      </c>
      <c r="BG17" s="51" t="s">
        <v>129</v>
      </c>
      <c r="BH17" s="51" t="s">
        <v>129</v>
      </c>
      <c r="BI17" s="51" t="s">
        <v>129</v>
      </c>
      <c r="BJ17" s="51" t="s">
        <v>129</v>
      </c>
      <c r="BK17" s="51" t="s">
        <v>129</v>
      </c>
      <c r="BL17" s="51" t="s">
        <v>129</v>
      </c>
      <c r="BM17" s="51" t="s">
        <v>129</v>
      </c>
    </row>
    <row r="18" spans="1:65" ht="15" customHeight="1" x14ac:dyDescent="0.2">
      <c r="A18" s="51" t="s">
        <v>142</v>
      </c>
      <c r="C18" s="51">
        <v>2</v>
      </c>
      <c r="E18" s="51">
        <v>5</v>
      </c>
      <c r="F18" s="51" t="s">
        <v>129</v>
      </c>
      <c r="G18" s="51">
        <v>0</v>
      </c>
      <c r="H18" s="51" t="s">
        <v>129</v>
      </c>
      <c r="I18" s="51">
        <v>0</v>
      </c>
      <c r="J18" s="51" t="s">
        <v>129</v>
      </c>
      <c r="K18" s="51" t="s">
        <v>129</v>
      </c>
      <c r="L18" s="51" t="s">
        <v>129</v>
      </c>
      <c r="M18" s="51" t="s">
        <v>129</v>
      </c>
      <c r="N18" s="51" t="s">
        <v>129</v>
      </c>
      <c r="O18" s="51" t="s">
        <v>129</v>
      </c>
      <c r="P18" s="51" t="s">
        <v>129</v>
      </c>
      <c r="Q18" s="51" t="s">
        <v>129</v>
      </c>
      <c r="R18" s="51" t="s">
        <v>129</v>
      </c>
      <c r="S18" s="51">
        <v>5</v>
      </c>
      <c r="T18" s="51" t="s">
        <v>129</v>
      </c>
      <c r="U18" s="51">
        <v>10</v>
      </c>
      <c r="V18" s="51" t="s">
        <v>129</v>
      </c>
      <c r="W18" s="51">
        <v>2</v>
      </c>
      <c r="X18" s="51" t="s">
        <v>129</v>
      </c>
      <c r="Y18" s="51">
        <v>0</v>
      </c>
      <c r="Z18" s="51" t="s">
        <v>129</v>
      </c>
      <c r="AA18" s="51" t="s">
        <v>129</v>
      </c>
      <c r="AB18" s="51" t="s">
        <v>129</v>
      </c>
      <c r="AC18" s="51" t="s">
        <v>129</v>
      </c>
      <c r="AD18" s="51" t="s">
        <v>129</v>
      </c>
      <c r="AE18" s="51" t="s">
        <v>129</v>
      </c>
      <c r="AF18" s="51" t="s">
        <v>129</v>
      </c>
      <c r="AG18" s="51" t="s">
        <v>129</v>
      </c>
      <c r="AH18" s="51" t="s">
        <v>129</v>
      </c>
      <c r="AI18" s="51">
        <v>9</v>
      </c>
      <c r="AJ18" s="51" t="s">
        <v>129</v>
      </c>
      <c r="AK18" s="51">
        <v>9</v>
      </c>
      <c r="AL18" s="51" t="s">
        <v>129</v>
      </c>
      <c r="AM18" s="51">
        <v>8</v>
      </c>
      <c r="AN18" s="51" t="s">
        <v>129</v>
      </c>
      <c r="AO18" s="51">
        <v>0</v>
      </c>
      <c r="AP18" s="51" t="s">
        <v>129</v>
      </c>
      <c r="AQ18" s="51" t="s">
        <v>129</v>
      </c>
      <c r="AR18" s="51" t="s">
        <v>129</v>
      </c>
      <c r="AS18" s="51" t="s">
        <v>129</v>
      </c>
      <c r="AT18" s="51" t="s">
        <v>129</v>
      </c>
      <c r="AU18" s="51" t="s">
        <v>129</v>
      </c>
      <c r="AV18" s="51" t="s">
        <v>129</v>
      </c>
      <c r="AW18" s="51" t="s">
        <v>129</v>
      </c>
      <c r="AX18" s="51" t="s">
        <v>129</v>
      </c>
      <c r="AY18" s="51">
        <v>1</v>
      </c>
      <c r="AZ18" s="51" t="s">
        <v>129</v>
      </c>
      <c r="BA18" s="51">
        <v>10</v>
      </c>
      <c r="BB18" s="51" t="s">
        <v>129</v>
      </c>
      <c r="BC18" s="51">
        <v>7</v>
      </c>
      <c r="BD18" s="51" t="s">
        <v>129</v>
      </c>
      <c r="BE18" s="51">
        <v>0</v>
      </c>
      <c r="BF18" s="51" t="s">
        <v>129</v>
      </c>
      <c r="BG18" s="51" t="s">
        <v>129</v>
      </c>
      <c r="BH18" s="51" t="s">
        <v>129</v>
      </c>
      <c r="BI18" s="51" t="s">
        <v>129</v>
      </c>
      <c r="BJ18" s="51" t="s">
        <v>129</v>
      </c>
      <c r="BK18" s="51" t="s">
        <v>129</v>
      </c>
      <c r="BL18" s="51" t="s">
        <v>129</v>
      </c>
      <c r="BM18" s="51" t="s">
        <v>129</v>
      </c>
    </row>
    <row r="19" spans="1:65" ht="15" customHeight="1" x14ac:dyDescent="0.2">
      <c r="A19" s="51" t="s">
        <v>141</v>
      </c>
      <c r="C19" s="51">
        <v>4</v>
      </c>
      <c r="E19" s="51">
        <v>9</v>
      </c>
      <c r="F19" s="51" t="s">
        <v>129</v>
      </c>
      <c r="G19" s="51">
        <v>2</v>
      </c>
      <c r="H19" s="51" t="s">
        <v>129</v>
      </c>
      <c r="I19" s="51">
        <v>0</v>
      </c>
      <c r="J19" s="51" t="s">
        <v>129</v>
      </c>
      <c r="K19" s="51" t="s">
        <v>129</v>
      </c>
      <c r="L19" s="51" t="s">
        <v>129</v>
      </c>
      <c r="M19" s="51" t="s">
        <v>129</v>
      </c>
      <c r="N19" s="51" t="s">
        <v>129</v>
      </c>
      <c r="O19" s="51" t="s">
        <v>129</v>
      </c>
      <c r="P19" s="51" t="s">
        <v>129</v>
      </c>
      <c r="Q19" s="51" t="s">
        <v>129</v>
      </c>
      <c r="R19" s="51" t="s">
        <v>129</v>
      </c>
      <c r="S19" s="51">
        <v>3</v>
      </c>
      <c r="T19" s="51" t="s">
        <v>129</v>
      </c>
      <c r="U19" s="51">
        <v>6</v>
      </c>
      <c r="V19" s="51" t="s">
        <v>129</v>
      </c>
      <c r="W19" s="51">
        <v>1</v>
      </c>
      <c r="X19" s="51" t="s">
        <v>129</v>
      </c>
      <c r="Y19" s="51">
        <v>0</v>
      </c>
      <c r="Z19" s="51" t="s">
        <v>129</v>
      </c>
      <c r="AA19" s="51" t="s">
        <v>129</v>
      </c>
      <c r="AB19" s="51" t="s">
        <v>129</v>
      </c>
      <c r="AC19" s="51" t="s">
        <v>129</v>
      </c>
      <c r="AD19" s="51" t="s">
        <v>129</v>
      </c>
      <c r="AE19" s="51" t="s">
        <v>129</v>
      </c>
      <c r="AF19" s="51" t="s">
        <v>129</v>
      </c>
      <c r="AG19" s="51" t="s">
        <v>129</v>
      </c>
      <c r="AH19" s="51" t="s">
        <v>129</v>
      </c>
      <c r="AI19" s="51">
        <v>15</v>
      </c>
      <c r="AJ19" s="51" t="s">
        <v>129</v>
      </c>
      <c r="AK19" s="51">
        <v>18</v>
      </c>
      <c r="AL19" s="51" t="s">
        <v>129</v>
      </c>
      <c r="AM19" s="51">
        <v>4</v>
      </c>
      <c r="AN19" s="51" t="s">
        <v>129</v>
      </c>
      <c r="AO19" s="51">
        <v>0</v>
      </c>
      <c r="AP19" s="51" t="s">
        <v>129</v>
      </c>
      <c r="AQ19" s="51" t="s">
        <v>129</v>
      </c>
      <c r="AR19" s="51" t="s">
        <v>129</v>
      </c>
      <c r="AS19" s="51" t="s">
        <v>129</v>
      </c>
      <c r="AT19" s="51" t="s">
        <v>129</v>
      </c>
      <c r="AU19" s="51" t="s">
        <v>129</v>
      </c>
      <c r="AV19" s="51" t="s">
        <v>129</v>
      </c>
      <c r="AW19" s="51" t="s">
        <v>129</v>
      </c>
      <c r="AX19" s="51" t="s">
        <v>129</v>
      </c>
      <c r="AY19" s="51">
        <v>0</v>
      </c>
      <c r="AZ19" s="51" t="s">
        <v>129</v>
      </c>
      <c r="BA19" s="51">
        <v>10</v>
      </c>
      <c r="BB19" s="51" t="s">
        <v>129</v>
      </c>
      <c r="BC19" s="51">
        <v>8</v>
      </c>
      <c r="BD19" s="51" t="s">
        <v>129</v>
      </c>
      <c r="BE19" s="51">
        <v>0</v>
      </c>
      <c r="BF19" s="51" t="s">
        <v>129</v>
      </c>
      <c r="BG19" s="51" t="s">
        <v>129</v>
      </c>
      <c r="BH19" s="51" t="s">
        <v>129</v>
      </c>
      <c r="BI19" s="51" t="s">
        <v>129</v>
      </c>
      <c r="BJ19" s="51" t="s">
        <v>129</v>
      </c>
      <c r="BK19" s="51" t="s">
        <v>129</v>
      </c>
      <c r="BL19" s="51" t="s">
        <v>129</v>
      </c>
      <c r="BM19" s="51" t="s">
        <v>129</v>
      </c>
    </row>
    <row r="20" spans="1:65" ht="15" customHeight="1" x14ac:dyDescent="0.2">
      <c r="A20" s="51" t="s">
        <v>140</v>
      </c>
      <c r="C20" s="51">
        <v>3</v>
      </c>
      <c r="E20" s="51">
        <v>10</v>
      </c>
      <c r="F20" s="51" t="s">
        <v>129</v>
      </c>
      <c r="G20" s="51">
        <v>2</v>
      </c>
      <c r="H20" s="51" t="s">
        <v>129</v>
      </c>
      <c r="I20" s="51">
        <v>0</v>
      </c>
      <c r="J20" s="51" t="s">
        <v>129</v>
      </c>
      <c r="K20" s="51" t="s">
        <v>129</v>
      </c>
      <c r="L20" s="51" t="s">
        <v>129</v>
      </c>
      <c r="M20" s="51" t="s">
        <v>129</v>
      </c>
      <c r="N20" s="51" t="s">
        <v>129</v>
      </c>
      <c r="O20" s="51" t="s">
        <v>129</v>
      </c>
      <c r="P20" s="51" t="s">
        <v>129</v>
      </c>
      <c r="Q20" s="51" t="s">
        <v>129</v>
      </c>
      <c r="R20" s="51" t="s">
        <v>129</v>
      </c>
      <c r="S20" s="51">
        <v>2</v>
      </c>
      <c r="T20" s="51" t="s">
        <v>129</v>
      </c>
      <c r="U20" s="51">
        <v>8</v>
      </c>
      <c r="V20" s="51" t="s">
        <v>129</v>
      </c>
      <c r="W20" s="51">
        <v>0</v>
      </c>
      <c r="X20" s="51" t="s">
        <v>129</v>
      </c>
      <c r="Y20" s="51">
        <v>0</v>
      </c>
      <c r="Z20" s="51" t="s">
        <v>129</v>
      </c>
      <c r="AA20" s="51" t="s">
        <v>129</v>
      </c>
      <c r="AB20" s="51" t="s">
        <v>129</v>
      </c>
      <c r="AC20" s="51" t="s">
        <v>129</v>
      </c>
      <c r="AD20" s="51" t="s">
        <v>129</v>
      </c>
      <c r="AE20" s="51" t="s">
        <v>129</v>
      </c>
      <c r="AF20" s="51" t="s">
        <v>129</v>
      </c>
      <c r="AG20" s="51" t="s">
        <v>129</v>
      </c>
      <c r="AH20" s="51" t="s">
        <v>129</v>
      </c>
      <c r="AI20" s="51">
        <v>12</v>
      </c>
      <c r="AJ20" s="51" t="s">
        <v>129</v>
      </c>
      <c r="AK20" s="51">
        <v>13</v>
      </c>
      <c r="AL20" s="51" t="s">
        <v>129</v>
      </c>
      <c r="AM20" s="51">
        <v>2</v>
      </c>
      <c r="AN20" s="51" t="s">
        <v>129</v>
      </c>
      <c r="AO20" s="51">
        <v>0</v>
      </c>
      <c r="AP20" s="51" t="s">
        <v>129</v>
      </c>
      <c r="AQ20" s="51" t="s">
        <v>129</v>
      </c>
      <c r="AR20" s="51" t="s">
        <v>129</v>
      </c>
      <c r="AS20" s="51" t="s">
        <v>129</v>
      </c>
      <c r="AT20" s="51" t="s">
        <v>129</v>
      </c>
      <c r="AU20" s="51" t="s">
        <v>129</v>
      </c>
      <c r="AV20" s="51" t="s">
        <v>129</v>
      </c>
      <c r="AW20" s="51" t="s">
        <v>129</v>
      </c>
      <c r="AX20" s="51" t="s">
        <v>129</v>
      </c>
      <c r="AY20" s="51">
        <v>0</v>
      </c>
      <c r="AZ20" s="51" t="s">
        <v>129</v>
      </c>
      <c r="BA20" s="51">
        <v>7</v>
      </c>
      <c r="BB20" s="51" t="s">
        <v>129</v>
      </c>
      <c r="BC20" s="51">
        <v>7</v>
      </c>
      <c r="BD20" s="51" t="s">
        <v>129</v>
      </c>
      <c r="BE20" s="51">
        <v>0</v>
      </c>
      <c r="BF20" s="51" t="s">
        <v>129</v>
      </c>
      <c r="BG20" s="51" t="s">
        <v>129</v>
      </c>
      <c r="BH20" s="51" t="s">
        <v>129</v>
      </c>
      <c r="BI20" s="51" t="s">
        <v>129</v>
      </c>
      <c r="BJ20" s="51" t="s">
        <v>129</v>
      </c>
      <c r="BK20" s="51" t="s">
        <v>129</v>
      </c>
      <c r="BL20" s="51" t="s">
        <v>129</v>
      </c>
      <c r="BM20" s="51" t="s">
        <v>129</v>
      </c>
    </row>
    <row r="21" spans="1:65" ht="15" customHeight="1" x14ac:dyDescent="0.2">
      <c r="A21" s="51" t="s">
        <v>139</v>
      </c>
      <c r="C21" s="51">
        <v>2</v>
      </c>
      <c r="E21" s="51">
        <v>12</v>
      </c>
      <c r="F21" s="51" t="s">
        <v>129</v>
      </c>
      <c r="G21" s="51">
        <v>1</v>
      </c>
      <c r="H21" s="51" t="s">
        <v>129</v>
      </c>
      <c r="I21" s="51">
        <v>0</v>
      </c>
      <c r="J21" s="51" t="s">
        <v>129</v>
      </c>
      <c r="K21" s="51" t="s">
        <v>129</v>
      </c>
      <c r="L21" s="51" t="s">
        <v>129</v>
      </c>
      <c r="M21" s="51" t="s">
        <v>129</v>
      </c>
      <c r="N21" s="51" t="s">
        <v>129</v>
      </c>
      <c r="O21" s="51" t="s">
        <v>129</v>
      </c>
      <c r="P21" s="51" t="s">
        <v>129</v>
      </c>
      <c r="Q21" s="51" t="s">
        <v>129</v>
      </c>
      <c r="R21" s="51" t="s">
        <v>129</v>
      </c>
      <c r="S21" s="51">
        <v>7</v>
      </c>
      <c r="T21" s="51" t="s">
        <v>129</v>
      </c>
      <c r="U21" s="51">
        <v>9</v>
      </c>
      <c r="V21" s="51" t="s">
        <v>129</v>
      </c>
      <c r="W21" s="51">
        <v>2</v>
      </c>
      <c r="X21" s="51" t="s">
        <v>129</v>
      </c>
      <c r="Y21" s="51">
        <v>0</v>
      </c>
      <c r="Z21" s="51" t="s">
        <v>129</v>
      </c>
      <c r="AA21" s="51" t="s">
        <v>129</v>
      </c>
      <c r="AB21" s="51" t="s">
        <v>129</v>
      </c>
      <c r="AC21" s="51" t="s">
        <v>129</v>
      </c>
      <c r="AD21" s="51" t="s">
        <v>129</v>
      </c>
      <c r="AE21" s="51" t="s">
        <v>129</v>
      </c>
      <c r="AF21" s="51" t="s">
        <v>129</v>
      </c>
      <c r="AG21" s="51" t="s">
        <v>129</v>
      </c>
      <c r="AH21" s="51" t="s">
        <v>129</v>
      </c>
      <c r="AI21" s="51">
        <v>11</v>
      </c>
      <c r="AJ21" s="51" t="s">
        <v>129</v>
      </c>
      <c r="AK21" s="51">
        <v>14</v>
      </c>
      <c r="AL21" s="51" t="s">
        <v>129</v>
      </c>
      <c r="AM21" s="51">
        <v>2</v>
      </c>
      <c r="AN21" s="51" t="s">
        <v>129</v>
      </c>
      <c r="AO21" s="51">
        <v>0</v>
      </c>
      <c r="AP21" s="51" t="s">
        <v>129</v>
      </c>
      <c r="AQ21" s="51" t="s">
        <v>129</v>
      </c>
      <c r="AR21" s="51" t="s">
        <v>129</v>
      </c>
      <c r="AS21" s="51" t="s">
        <v>129</v>
      </c>
      <c r="AT21" s="51" t="s">
        <v>129</v>
      </c>
      <c r="AU21" s="51" t="s">
        <v>129</v>
      </c>
      <c r="AV21" s="51" t="s">
        <v>129</v>
      </c>
      <c r="AW21" s="51" t="s">
        <v>129</v>
      </c>
      <c r="AX21" s="51" t="s">
        <v>129</v>
      </c>
      <c r="AY21" s="51">
        <v>3</v>
      </c>
      <c r="AZ21" s="51" t="s">
        <v>129</v>
      </c>
      <c r="BA21" s="51">
        <v>8</v>
      </c>
      <c r="BB21" s="51" t="s">
        <v>129</v>
      </c>
      <c r="BC21" s="51">
        <v>9</v>
      </c>
      <c r="BD21" s="51" t="s">
        <v>129</v>
      </c>
      <c r="BE21" s="51">
        <v>0</v>
      </c>
      <c r="BF21" s="51" t="s">
        <v>129</v>
      </c>
      <c r="BG21" s="51" t="s">
        <v>129</v>
      </c>
      <c r="BH21" s="51" t="s">
        <v>129</v>
      </c>
      <c r="BI21" s="51" t="s">
        <v>129</v>
      </c>
      <c r="BJ21" s="51" t="s">
        <v>129</v>
      </c>
      <c r="BK21" s="51" t="s">
        <v>129</v>
      </c>
      <c r="BL21" s="51" t="s">
        <v>129</v>
      </c>
      <c r="BM21" s="51" t="s">
        <v>129</v>
      </c>
    </row>
    <row r="22" spans="1:65" ht="15" customHeight="1" x14ac:dyDescent="0.2">
      <c r="A22" s="51" t="s">
        <v>138</v>
      </c>
      <c r="C22" s="51">
        <v>1</v>
      </c>
      <c r="E22" s="51">
        <v>8</v>
      </c>
      <c r="F22" s="51" t="s">
        <v>129</v>
      </c>
      <c r="G22" s="51">
        <v>0</v>
      </c>
      <c r="H22" s="51" t="s">
        <v>129</v>
      </c>
      <c r="I22" s="51">
        <v>0</v>
      </c>
      <c r="J22" s="51" t="s">
        <v>129</v>
      </c>
      <c r="K22" s="51" t="s">
        <v>129</v>
      </c>
      <c r="L22" s="51" t="s">
        <v>129</v>
      </c>
      <c r="M22" s="51" t="s">
        <v>129</v>
      </c>
      <c r="N22" s="51" t="s">
        <v>129</v>
      </c>
      <c r="O22" s="51" t="s">
        <v>129</v>
      </c>
      <c r="P22" s="51" t="s">
        <v>129</v>
      </c>
      <c r="Q22" s="51" t="s">
        <v>129</v>
      </c>
      <c r="R22" s="51" t="s">
        <v>129</v>
      </c>
      <c r="S22" s="51">
        <v>6</v>
      </c>
      <c r="T22" s="51" t="s">
        <v>129</v>
      </c>
      <c r="U22" s="51">
        <v>6</v>
      </c>
      <c r="V22" s="51" t="s">
        <v>129</v>
      </c>
      <c r="W22" s="51">
        <v>2</v>
      </c>
      <c r="X22" s="51" t="s">
        <v>129</v>
      </c>
      <c r="Y22" s="51">
        <v>0</v>
      </c>
      <c r="Z22" s="51" t="s">
        <v>129</v>
      </c>
      <c r="AA22" s="51" t="s">
        <v>129</v>
      </c>
      <c r="AB22" s="51" t="s">
        <v>129</v>
      </c>
      <c r="AC22" s="51" t="s">
        <v>129</v>
      </c>
      <c r="AD22" s="51" t="s">
        <v>129</v>
      </c>
      <c r="AE22" s="51" t="s">
        <v>129</v>
      </c>
      <c r="AF22" s="51" t="s">
        <v>129</v>
      </c>
      <c r="AG22" s="51" t="s">
        <v>129</v>
      </c>
      <c r="AH22" s="51" t="s">
        <v>129</v>
      </c>
      <c r="AI22" s="51">
        <v>15</v>
      </c>
      <c r="AJ22" s="51" t="s">
        <v>129</v>
      </c>
      <c r="AK22" s="51">
        <v>9</v>
      </c>
      <c r="AL22" s="51" t="s">
        <v>129</v>
      </c>
      <c r="AM22" s="51">
        <v>9</v>
      </c>
      <c r="AN22" s="51" t="s">
        <v>129</v>
      </c>
      <c r="AO22" s="51">
        <v>0</v>
      </c>
      <c r="AP22" s="51" t="s">
        <v>129</v>
      </c>
      <c r="AQ22" s="51" t="s">
        <v>129</v>
      </c>
      <c r="AR22" s="51" t="s">
        <v>129</v>
      </c>
      <c r="AS22" s="51" t="s">
        <v>129</v>
      </c>
      <c r="AT22" s="51" t="s">
        <v>129</v>
      </c>
      <c r="AU22" s="51" t="s">
        <v>129</v>
      </c>
      <c r="AV22" s="51" t="s">
        <v>129</v>
      </c>
      <c r="AW22" s="51" t="s">
        <v>129</v>
      </c>
      <c r="AX22" s="51" t="s">
        <v>129</v>
      </c>
      <c r="AY22" s="51">
        <v>2</v>
      </c>
      <c r="AZ22" s="51" t="s">
        <v>129</v>
      </c>
      <c r="BA22" s="51">
        <v>8</v>
      </c>
      <c r="BB22" s="51" t="s">
        <v>129</v>
      </c>
      <c r="BC22" s="51">
        <v>12</v>
      </c>
      <c r="BD22" s="51" t="s">
        <v>129</v>
      </c>
      <c r="BE22" s="51">
        <v>0</v>
      </c>
      <c r="BF22" s="51" t="s">
        <v>129</v>
      </c>
      <c r="BG22" s="51" t="s">
        <v>129</v>
      </c>
      <c r="BH22" s="51" t="s">
        <v>129</v>
      </c>
      <c r="BI22" s="51" t="s">
        <v>129</v>
      </c>
      <c r="BJ22" s="51" t="s">
        <v>129</v>
      </c>
      <c r="BK22" s="51" t="s">
        <v>129</v>
      </c>
      <c r="BL22" s="51" t="s">
        <v>129</v>
      </c>
      <c r="BM22" s="51" t="s">
        <v>129</v>
      </c>
    </row>
    <row r="23" spans="1:65" ht="15" customHeight="1" x14ac:dyDescent="0.2">
      <c r="A23" s="52">
        <v>0.54166666666666663</v>
      </c>
      <c r="C23" s="51">
        <v>3</v>
      </c>
      <c r="E23" s="51">
        <v>8</v>
      </c>
      <c r="G23" s="51">
        <v>1</v>
      </c>
      <c r="I23" s="51">
        <v>0</v>
      </c>
      <c r="S23" s="51">
        <v>2</v>
      </c>
      <c r="U23" s="51">
        <v>11</v>
      </c>
      <c r="W23" s="51">
        <v>5</v>
      </c>
      <c r="Y23" s="51">
        <v>0</v>
      </c>
      <c r="AI23" s="51">
        <v>12</v>
      </c>
      <c r="AK23" s="51">
        <v>8</v>
      </c>
      <c r="AM23" s="51">
        <v>2</v>
      </c>
      <c r="AO23" s="51">
        <v>0</v>
      </c>
      <c r="AY23" s="51">
        <v>0</v>
      </c>
      <c r="BA23" s="51">
        <v>5</v>
      </c>
      <c r="BC23" s="51">
        <v>4</v>
      </c>
      <c r="BE23" s="51">
        <v>0</v>
      </c>
    </row>
    <row r="24" spans="1:65" ht="15" customHeight="1" x14ac:dyDescent="0.2">
      <c r="A24" s="52">
        <v>0.55208333333333337</v>
      </c>
      <c r="C24" s="51">
        <v>5</v>
      </c>
      <c r="E24" s="51">
        <v>12</v>
      </c>
      <c r="G24" s="51">
        <v>0</v>
      </c>
      <c r="I24" s="51">
        <v>0</v>
      </c>
      <c r="S24" s="51">
        <v>4</v>
      </c>
      <c r="U24" s="51">
        <v>9</v>
      </c>
      <c r="W24" s="51">
        <v>0</v>
      </c>
      <c r="Y24" s="51">
        <v>0</v>
      </c>
      <c r="AI24" s="51">
        <v>9</v>
      </c>
      <c r="AK24" s="51">
        <v>10</v>
      </c>
      <c r="AM24" s="51">
        <v>1</v>
      </c>
      <c r="AO24" s="51">
        <v>0</v>
      </c>
      <c r="AY24" s="51">
        <v>0</v>
      </c>
      <c r="BA24" s="51">
        <v>8</v>
      </c>
      <c r="BC24" s="51">
        <v>7</v>
      </c>
      <c r="BE24" s="51">
        <v>0</v>
      </c>
    </row>
    <row r="25" spans="1:65" ht="15" customHeight="1" x14ac:dyDescent="0.2">
      <c r="A25" s="52">
        <v>0.5625</v>
      </c>
      <c r="C25" s="51">
        <v>0</v>
      </c>
      <c r="E25" s="51">
        <v>16</v>
      </c>
      <c r="G25" s="51">
        <v>1</v>
      </c>
      <c r="I25" s="51">
        <v>0</v>
      </c>
      <c r="S25" s="51">
        <v>1</v>
      </c>
      <c r="U25" s="51">
        <v>12</v>
      </c>
      <c r="W25" s="51">
        <v>1</v>
      </c>
      <c r="Y25" s="51">
        <v>0</v>
      </c>
      <c r="AI25" s="51">
        <v>11</v>
      </c>
      <c r="AK25" s="51">
        <v>11</v>
      </c>
      <c r="AM25" s="51">
        <v>1</v>
      </c>
      <c r="AO25" s="51">
        <v>0</v>
      </c>
      <c r="AY25" s="51">
        <v>1</v>
      </c>
      <c r="BA25" s="51">
        <v>7</v>
      </c>
      <c r="BC25" s="51">
        <v>10</v>
      </c>
      <c r="BE25" s="51">
        <v>0</v>
      </c>
    </row>
    <row r="26" spans="1:65" ht="15" customHeight="1" x14ac:dyDescent="0.2">
      <c r="A26" s="52">
        <v>0.57291666666666663</v>
      </c>
      <c r="C26" s="51">
        <v>2</v>
      </c>
      <c r="E26" s="51">
        <v>9</v>
      </c>
      <c r="G26" s="51">
        <v>2</v>
      </c>
      <c r="I26" s="51">
        <v>0</v>
      </c>
      <c r="S26" s="51">
        <v>1</v>
      </c>
      <c r="U26" s="51">
        <v>9</v>
      </c>
      <c r="W26" s="51">
        <v>1</v>
      </c>
      <c r="Y26" s="51">
        <v>0</v>
      </c>
      <c r="AI26" s="51">
        <v>6</v>
      </c>
      <c r="AK26" s="51">
        <v>13</v>
      </c>
      <c r="AM26" s="51">
        <v>0</v>
      </c>
      <c r="AO26" s="51">
        <v>0</v>
      </c>
      <c r="AY26" s="51">
        <v>1</v>
      </c>
      <c r="BA26" s="51">
        <v>8</v>
      </c>
      <c r="BC26" s="51">
        <v>8</v>
      </c>
      <c r="BE26" s="51">
        <v>0</v>
      </c>
    </row>
    <row r="27" spans="1:65" ht="15" customHeight="1" x14ac:dyDescent="0.2">
      <c r="A27" s="51" t="s">
        <v>137</v>
      </c>
      <c r="C27" s="51">
        <v>2</v>
      </c>
      <c r="E27" s="51">
        <v>7</v>
      </c>
      <c r="F27" s="51" t="s">
        <v>129</v>
      </c>
      <c r="G27" s="51">
        <v>2</v>
      </c>
      <c r="H27" s="51" t="s">
        <v>129</v>
      </c>
      <c r="I27" s="51">
        <v>0</v>
      </c>
      <c r="J27" s="51" t="s">
        <v>129</v>
      </c>
      <c r="K27" s="51" t="s">
        <v>129</v>
      </c>
      <c r="L27" s="51" t="s">
        <v>129</v>
      </c>
      <c r="M27" s="51" t="s">
        <v>129</v>
      </c>
      <c r="N27" s="51" t="s">
        <v>129</v>
      </c>
      <c r="O27" s="51" t="s">
        <v>129</v>
      </c>
      <c r="P27" s="51" t="s">
        <v>129</v>
      </c>
      <c r="Q27" s="51" t="s">
        <v>129</v>
      </c>
      <c r="R27" s="51" t="s">
        <v>129</v>
      </c>
      <c r="S27" s="51">
        <v>3</v>
      </c>
      <c r="T27" s="51" t="s">
        <v>129</v>
      </c>
      <c r="U27" s="51">
        <v>7</v>
      </c>
      <c r="V27" s="51" t="s">
        <v>129</v>
      </c>
      <c r="W27" s="51">
        <v>2</v>
      </c>
      <c r="X27" s="51" t="s">
        <v>129</v>
      </c>
      <c r="Y27" s="51">
        <v>0</v>
      </c>
      <c r="Z27" s="51" t="s">
        <v>129</v>
      </c>
      <c r="AA27" s="51" t="s">
        <v>129</v>
      </c>
      <c r="AB27" s="51" t="s">
        <v>129</v>
      </c>
      <c r="AC27" s="51" t="s">
        <v>129</v>
      </c>
      <c r="AD27" s="51" t="s">
        <v>129</v>
      </c>
      <c r="AE27" s="51" t="s">
        <v>129</v>
      </c>
      <c r="AF27" s="51" t="s">
        <v>129</v>
      </c>
      <c r="AG27" s="51" t="s">
        <v>129</v>
      </c>
      <c r="AH27" s="51" t="s">
        <v>129</v>
      </c>
      <c r="AI27" s="51">
        <v>14</v>
      </c>
      <c r="AJ27" s="51" t="s">
        <v>129</v>
      </c>
      <c r="AK27" s="51">
        <v>8</v>
      </c>
      <c r="AL27" s="51" t="s">
        <v>129</v>
      </c>
      <c r="AM27" s="51">
        <v>2</v>
      </c>
      <c r="AN27" s="51" t="s">
        <v>129</v>
      </c>
      <c r="AO27" s="51">
        <v>0</v>
      </c>
      <c r="AP27" s="51" t="s">
        <v>129</v>
      </c>
      <c r="AQ27" s="51" t="s">
        <v>129</v>
      </c>
      <c r="AR27" s="51" t="s">
        <v>129</v>
      </c>
      <c r="AS27" s="51" t="s">
        <v>129</v>
      </c>
      <c r="AT27" s="51" t="s">
        <v>129</v>
      </c>
      <c r="AU27" s="51" t="s">
        <v>129</v>
      </c>
      <c r="AV27" s="51" t="s">
        <v>129</v>
      </c>
      <c r="AW27" s="51" t="s">
        <v>129</v>
      </c>
      <c r="AX27" s="51" t="s">
        <v>129</v>
      </c>
      <c r="AY27" s="51">
        <v>2</v>
      </c>
      <c r="AZ27" s="51" t="s">
        <v>129</v>
      </c>
      <c r="BA27" s="51">
        <v>7</v>
      </c>
      <c r="BB27" s="51" t="s">
        <v>129</v>
      </c>
      <c r="BC27" s="51">
        <v>6</v>
      </c>
      <c r="BD27" s="51" t="s">
        <v>129</v>
      </c>
      <c r="BE27" s="51">
        <v>0</v>
      </c>
      <c r="BF27" s="51" t="s">
        <v>129</v>
      </c>
      <c r="BG27" s="51" t="s">
        <v>129</v>
      </c>
      <c r="BH27" s="51" t="s">
        <v>129</v>
      </c>
      <c r="BI27" s="51" t="s">
        <v>129</v>
      </c>
      <c r="BJ27" s="51" t="s">
        <v>129</v>
      </c>
      <c r="BK27" s="51" t="s">
        <v>129</v>
      </c>
      <c r="BL27" s="51" t="s">
        <v>129</v>
      </c>
      <c r="BM27" s="51" t="s">
        <v>129</v>
      </c>
    </row>
    <row r="28" spans="1:65" ht="15" customHeight="1" x14ac:dyDescent="0.2">
      <c r="A28" s="51" t="s">
        <v>136</v>
      </c>
      <c r="C28" s="51">
        <v>1</v>
      </c>
      <c r="E28" s="51">
        <v>11</v>
      </c>
      <c r="F28" s="51" t="s">
        <v>129</v>
      </c>
      <c r="G28" s="51">
        <v>0</v>
      </c>
      <c r="H28" s="51" t="s">
        <v>129</v>
      </c>
      <c r="I28" s="51">
        <v>0</v>
      </c>
      <c r="J28" s="51" t="s">
        <v>129</v>
      </c>
      <c r="K28" s="51" t="s">
        <v>129</v>
      </c>
      <c r="L28" s="51" t="s">
        <v>129</v>
      </c>
      <c r="M28" s="51" t="s">
        <v>129</v>
      </c>
      <c r="N28" s="51" t="s">
        <v>129</v>
      </c>
      <c r="O28" s="51" t="s">
        <v>129</v>
      </c>
      <c r="P28" s="51" t="s">
        <v>129</v>
      </c>
      <c r="Q28" s="51" t="s">
        <v>129</v>
      </c>
      <c r="R28" s="51" t="s">
        <v>129</v>
      </c>
      <c r="S28" s="51">
        <v>3</v>
      </c>
      <c r="T28" s="51" t="s">
        <v>129</v>
      </c>
      <c r="U28" s="51">
        <v>6</v>
      </c>
      <c r="V28" s="51" t="s">
        <v>129</v>
      </c>
      <c r="W28" s="51">
        <v>0</v>
      </c>
      <c r="X28" s="51" t="s">
        <v>129</v>
      </c>
      <c r="Y28" s="51">
        <v>0</v>
      </c>
      <c r="Z28" s="51" t="s">
        <v>129</v>
      </c>
      <c r="AA28" s="51" t="s">
        <v>129</v>
      </c>
      <c r="AB28" s="51" t="s">
        <v>129</v>
      </c>
      <c r="AC28" s="51" t="s">
        <v>129</v>
      </c>
      <c r="AD28" s="51" t="s">
        <v>129</v>
      </c>
      <c r="AE28" s="51" t="s">
        <v>129</v>
      </c>
      <c r="AF28" s="51" t="s">
        <v>129</v>
      </c>
      <c r="AG28" s="51" t="s">
        <v>129</v>
      </c>
      <c r="AH28" s="51" t="s">
        <v>129</v>
      </c>
      <c r="AI28" s="51">
        <v>6</v>
      </c>
      <c r="AJ28" s="51" t="s">
        <v>129</v>
      </c>
      <c r="AK28" s="51">
        <v>10</v>
      </c>
      <c r="AL28" s="51" t="s">
        <v>129</v>
      </c>
      <c r="AM28" s="51">
        <v>1</v>
      </c>
      <c r="AN28" s="51" t="s">
        <v>129</v>
      </c>
      <c r="AO28" s="51">
        <v>0</v>
      </c>
      <c r="AP28" s="51" t="s">
        <v>129</v>
      </c>
      <c r="AQ28" s="51" t="s">
        <v>129</v>
      </c>
      <c r="AR28" s="51" t="s">
        <v>129</v>
      </c>
      <c r="AS28" s="51" t="s">
        <v>129</v>
      </c>
      <c r="AT28" s="51" t="s">
        <v>129</v>
      </c>
      <c r="AU28" s="51" t="s">
        <v>129</v>
      </c>
      <c r="AV28" s="51" t="s">
        <v>129</v>
      </c>
      <c r="AW28" s="51" t="s">
        <v>129</v>
      </c>
      <c r="AX28" s="51" t="s">
        <v>129</v>
      </c>
      <c r="AY28" s="51">
        <v>0</v>
      </c>
      <c r="AZ28" s="51" t="s">
        <v>129</v>
      </c>
      <c r="BA28" s="51">
        <v>11</v>
      </c>
      <c r="BB28" s="51" t="s">
        <v>129</v>
      </c>
      <c r="BC28" s="51">
        <v>4</v>
      </c>
      <c r="BD28" s="51" t="s">
        <v>129</v>
      </c>
      <c r="BE28" s="51">
        <v>0</v>
      </c>
      <c r="BF28" s="51" t="s">
        <v>129</v>
      </c>
      <c r="BG28" s="51" t="s">
        <v>129</v>
      </c>
      <c r="BH28" s="51" t="s">
        <v>129</v>
      </c>
      <c r="BI28" s="51" t="s">
        <v>129</v>
      </c>
      <c r="BJ28" s="51" t="s">
        <v>129</v>
      </c>
      <c r="BK28" s="51" t="s">
        <v>129</v>
      </c>
      <c r="BL28" s="51" t="s">
        <v>129</v>
      </c>
      <c r="BM28" s="51" t="s">
        <v>129</v>
      </c>
    </row>
    <row r="29" spans="1:65" ht="15" customHeight="1" x14ac:dyDescent="0.2">
      <c r="A29" s="51" t="s">
        <v>135</v>
      </c>
      <c r="C29" s="51">
        <v>3</v>
      </c>
      <c r="E29" s="51">
        <v>6</v>
      </c>
      <c r="F29" s="51" t="s">
        <v>129</v>
      </c>
      <c r="G29" s="51">
        <v>3</v>
      </c>
      <c r="H29" s="51" t="s">
        <v>129</v>
      </c>
      <c r="I29" s="51">
        <v>0</v>
      </c>
      <c r="J29" s="51" t="s">
        <v>129</v>
      </c>
      <c r="K29" s="51" t="s">
        <v>129</v>
      </c>
      <c r="L29" s="51" t="s">
        <v>129</v>
      </c>
      <c r="M29" s="51" t="s">
        <v>129</v>
      </c>
      <c r="N29" s="51" t="s">
        <v>129</v>
      </c>
      <c r="O29" s="51" t="s">
        <v>129</v>
      </c>
      <c r="P29" s="51" t="s">
        <v>129</v>
      </c>
      <c r="Q29" s="51" t="s">
        <v>129</v>
      </c>
      <c r="R29" s="51" t="s">
        <v>129</v>
      </c>
      <c r="S29" s="51">
        <v>4</v>
      </c>
      <c r="T29" s="51" t="s">
        <v>129</v>
      </c>
      <c r="U29" s="51">
        <v>8</v>
      </c>
      <c r="V29" s="51" t="s">
        <v>129</v>
      </c>
      <c r="W29" s="51">
        <v>0</v>
      </c>
      <c r="X29" s="51" t="s">
        <v>129</v>
      </c>
      <c r="Y29" s="51">
        <v>0</v>
      </c>
      <c r="Z29" s="51" t="s">
        <v>129</v>
      </c>
      <c r="AA29" s="51" t="s">
        <v>129</v>
      </c>
      <c r="AB29" s="51" t="s">
        <v>129</v>
      </c>
      <c r="AC29" s="51" t="s">
        <v>129</v>
      </c>
      <c r="AD29" s="51" t="s">
        <v>129</v>
      </c>
      <c r="AE29" s="51" t="s">
        <v>129</v>
      </c>
      <c r="AF29" s="51" t="s">
        <v>129</v>
      </c>
      <c r="AG29" s="51" t="s">
        <v>129</v>
      </c>
      <c r="AH29" s="51" t="s">
        <v>129</v>
      </c>
      <c r="AI29" s="51">
        <v>9</v>
      </c>
      <c r="AJ29" s="51" t="s">
        <v>129</v>
      </c>
      <c r="AK29" s="51">
        <v>12</v>
      </c>
      <c r="AL29" s="51" t="s">
        <v>129</v>
      </c>
      <c r="AM29" s="51">
        <v>0</v>
      </c>
      <c r="AN29" s="51" t="s">
        <v>129</v>
      </c>
      <c r="AO29" s="51">
        <v>0</v>
      </c>
      <c r="AP29" s="51" t="s">
        <v>129</v>
      </c>
      <c r="AQ29" s="51" t="s">
        <v>129</v>
      </c>
      <c r="AR29" s="51" t="s">
        <v>129</v>
      </c>
      <c r="AS29" s="51" t="s">
        <v>129</v>
      </c>
      <c r="AT29" s="51" t="s">
        <v>129</v>
      </c>
      <c r="AU29" s="51" t="s">
        <v>129</v>
      </c>
      <c r="AV29" s="51" t="s">
        <v>129</v>
      </c>
      <c r="AW29" s="51" t="s">
        <v>129</v>
      </c>
      <c r="AX29" s="51" t="s">
        <v>129</v>
      </c>
      <c r="AY29" s="51">
        <v>0</v>
      </c>
      <c r="AZ29" s="51" t="s">
        <v>129</v>
      </c>
      <c r="BA29" s="51">
        <v>3</v>
      </c>
      <c r="BB29" s="51" t="s">
        <v>129</v>
      </c>
      <c r="BC29" s="51">
        <v>6</v>
      </c>
      <c r="BD29" s="51" t="s">
        <v>129</v>
      </c>
      <c r="BE29" s="51">
        <v>0</v>
      </c>
      <c r="BF29" s="51" t="s">
        <v>129</v>
      </c>
      <c r="BG29" s="51" t="s">
        <v>129</v>
      </c>
      <c r="BH29" s="51" t="s">
        <v>129</v>
      </c>
      <c r="BI29" s="51" t="s">
        <v>129</v>
      </c>
      <c r="BJ29" s="51" t="s">
        <v>129</v>
      </c>
      <c r="BK29" s="51" t="s">
        <v>129</v>
      </c>
      <c r="BL29" s="51" t="s">
        <v>129</v>
      </c>
      <c r="BM29" s="51" t="s">
        <v>129</v>
      </c>
    </row>
    <row r="30" spans="1:65" ht="15" customHeight="1" x14ac:dyDescent="0.2">
      <c r="A30" s="51" t="s">
        <v>134</v>
      </c>
      <c r="C30" s="51">
        <v>2</v>
      </c>
      <c r="E30" s="51">
        <v>4</v>
      </c>
      <c r="F30" s="51" t="s">
        <v>129</v>
      </c>
      <c r="G30" s="51">
        <v>1</v>
      </c>
      <c r="H30" s="51" t="s">
        <v>129</v>
      </c>
      <c r="I30" s="51">
        <v>0</v>
      </c>
      <c r="J30" s="51" t="s">
        <v>129</v>
      </c>
      <c r="K30" s="51" t="s">
        <v>129</v>
      </c>
      <c r="L30" s="51" t="s">
        <v>129</v>
      </c>
      <c r="M30" s="51" t="s">
        <v>129</v>
      </c>
      <c r="N30" s="51" t="s">
        <v>129</v>
      </c>
      <c r="O30" s="51" t="s">
        <v>129</v>
      </c>
      <c r="P30" s="51" t="s">
        <v>129</v>
      </c>
      <c r="Q30" s="51" t="s">
        <v>129</v>
      </c>
      <c r="R30" s="51" t="s">
        <v>129</v>
      </c>
      <c r="S30" s="51">
        <v>2</v>
      </c>
      <c r="T30" s="51" t="s">
        <v>129</v>
      </c>
      <c r="U30" s="51">
        <v>6</v>
      </c>
      <c r="V30" s="51" t="s">
        <v>129</v>
      </c>
      <c r="W30" s="51">
        <v>2</v>
      </c>
      <c r="X30" s="51" t="s">
        <v>129</v>
      </c>
      <c r="Y30" s="51">
        <v>0</v>
      </c>
      <c r="Z30" s="51" t="s">
        <v>129</v>
      </c>
      <c r="AA30" s="51" t="s">
        <v>129</v>
      </c>
      <c r="AB30" s="51" t="s">
        <v>129</v>
      </c>
      <c r="AC30" s="51" t="s">
        <v>129</v>
      </c>
      <c r="AD30" s="51" t="s">
        <v>129</v>
      </c>
      <c r="AE30" s="51" t="s">
        <v>129</v>
      </c>
      <c r="AF30" s="51" t="s">
        <v>129</v>
      </c>
      <c r="AG30" s="51" t="s">
        <v>129</v>
      </c>
      <c r="AH30" s="51" t="s">
        <v>129</v>
      </c>
      <c r="AI30" s="51">
        <v>4</v>
      </c>
      <c r="AJ30" s="51" t="s">
        <v>129</v>
      </c>
      <c r="AK30" s="51">
        <v>8</v>
      </c>
      <c r="AL30" s="51" t="s">
        <v>129</v>
      </c>
      <c r="AM30" s="51">
        <v>1</v>
      </c>
      <c r="AN30" s="51" t="s">
        <v>129</v>
      </c>
      <c r="AO30" s="51">
        <v>0</v>
      </c>
      <c r="AP30" s="51" t="s">
        <v>129</v>
      </c>
      <c r="AQ30" s="51" t="s">
        <v>129</v>
      </c>
      <c r="AR30" s="51" t="s">
        <v>129</v>
      </c>
      <c r="AS30" s="51" t="s">
        <v>129</v>
      </c>
      <c r="AT30" s="51" t="s">
        <v>129</v>
      </c>
      <c r="AU30" s="51" t="s">
        <v>129</v>
      </c>
      <c r="AV30" s="51" t="s">
        <v>129</v>
      </c>
      <c r="AW30" s="51" t="s">
        <v>129</v>
      </c>
      <c r="AX30" s="51" t="s">
        <v>129</v>
      </c>
      <c r="AY30" s="51">
        <v>2</v>
      </c>
      <c r="AZ30" s="51" t="s">
        <v>129</v>
      </c>
      <c r="BA30" s="51">
        <v>2</v>
      </c>
      <c r="BB30" s="51" t="s">
        <v>129</v>
      </c>
      <c r="BC30" s="51">
        <v>3</v>
      </c>
      <c r="BD30" s="51" t="s">
        <v>129</v>
      </c>
      <c r="BE30" s="51">
        <v>0</v>
      </c>
      <c r="BF30" s="51" t="s">
        <v>129</v>
      </c>
      <c r="BG30" s="51" t="s">
        <v>129</v>
      </c>
      <c r="BH30" s="51" t="s">
        <v>129</v>
      </c>
      <c r="BI30" s="51" t="s">
        <v>129</v>
      </c>
      <c r="BJ30" s="51" t="s">
        <v>129</v>
      </c>
      <c r="BK30" s="51" t="s">
        <v>129</v>
      </c>
      <c r="BL30" s="51" t="s">
        <v>129</v>
      </c>
      <c r="BM30" s="51" t="s">
        <v>129</v>
      </c>
    </row>
    <row r="31" spans="1:65" ht="15" customHeight="1" x14ac:dyDescent="0.2">
      <c r="A31" s="51" t="s">
        <v>133</v>
      </c>
      <c r="C31" s="51">
        <v>0</v>
      </c>
      <c r="E31" s="51">
        <v>6</v>
      </c>
      <c r="F31" s="51" t="s">
        <v>129</v>
      </c>
      <c r="G31" s="51">
        <v>0</v>
      </c>
      <c r="H31" s="51" t="s">
        <v>129</v>
      </c>
      <c r="I31" s="51">
        <v>0</v>
      </c>
      <c r="J31" s="51" t="s">
        <v>129</v>
      </c>
      <c r="K31" s="51" t="s">
        <v>129</v>
      </c>
      <c r="L31" s="51" t="s">
        <v>129</v>
      </c>
      <c r="M31" s="51" t="s">
        <v>129</v>
      </c>
      <c r="N31" s="51" t="s">
        <v>129</v>
      </c>
      <c r="O31" s="51" t="s">
        <v>129</v>
      </c>
      <c r="P31" s="51" t="s">
        <v>129</v>
      </c>
      <c r="Q31" s="51" t="s">
        <v>129</v>
      </c>
      <c r="R31" s="51" t="s">
        <v>129</v>
      </c>
      <c r="S31" s="51">
        <v>1</v>
      </c>
      <c r="T31" s="51" t="s">
        <v>129</v>
      </c>
      <c r="U31" s="51">
        <v>5</v>
      </c>
      <c r="V31" s="51" t="s">
        <v>129</v>
      </c>
      <c r="W31" s="51">
        <v>2</v>
      </c>
      <c r="X31" s="51" t="s">
        <v>129</v>
      </c>
      <c r="Y31" s="51">
        <v>0</v>
      </c>
      <c r="Z31" s="51" t="s">
        <v>129</v>
      </c>
      <c r="AA31" s="51" t="s">
        <v>129</v>
      </c>
      <c r="AB31" s="51" t="s">
        <v>129</v>
      </c>
      <c r="AC31" s="51" t="s">
        <v>129</v>
      </c>
      <c r="AD31" s="51" t="s">
        <v>129</v>
      </c>
      <c r="AE31" s="51" t="s">
        <v>129</v>
      </c>
      <c r="AF31" s="51" t="s">
        <v>129</v>
      </c>
      <c r="AG31" s="51" t="s">
        <v>129</v>
      </c>
      <c r="AH31" s="51" t="s">
        <v>129</v>
      </c>
      <c r="AI31" s="51">
        <v>8</v>
      </c>
      <c r="AJ31" s="51" t="s">
        <v>129</v>
      </c>
      <c r="AK31" s="51">
        <v>6</v>
      </c>
      <c r="AL31" s="51" t="s">
        <v>129</v>
      </c>
      <c r="AM31" s="51">
        <v>4</v>
      </c>
      <c r="AN31" s="51" t="s">
        <v>129</v>
      </c>
      <c r="AO31" s="51">
        <v>0</v>
      </c>
      <c r="AP31" s="51" t="s">
        <v>129</v>
      </c>
      <c r="AQ31" s="51" t="s">
        <v>129</v>
      </c>
      <c r="AR31" s="51" t="s">
        <v>129</v>
      </c>
      <c r="AS31" s="51" t="s">
        <v>129</v>
      </c>
      <c r="AT31" s="51" t="s">
        <v>129</v>
      </c>
      <c r="AU31" s="51" t="s">
        <v>129</v>
      </c>
      <c r="AV31" s="51" t="s">
        <v>129</v>
      </c>
      <c r="AW31" s="51" t="s">
        <v>129</v>
      </c>
      <c r="AX31" s="51" t="s">
        <v>129</v>
      </c>
      <c r="AY31" s="51">
        <v>1</v>
      </c>
      <c r="AZ31" s="51" t="s">
        <v>129</v>
      </c>
      <c r="BA31" s="51">
        <v>3</v>
      </c>
      <c r="BB31" s="51" t="s">
        <v>129</v>
      </c>
      <c r="BC31" s="51">
        <v>5</v>
      </c>
      <c r="BD31" s="51" t="s">
        <v>129</v>
      </c>
      <c r="BE31" s="51">
        <v>0</v>
      </c>
      <c r="BF31" s="51" t="s">
        <v>129</v>
      </c>
      <c r="BG31" s="51" t="s">
        <v>129</v>
      </c>
      <c r="BH31" s="51" t="s">
        <v>129</v>
      </c>
      <c r="BI31" s="51" t="s">
        <v>129</v>
      </c>
      <c r="BJ31" s="51" t="s">
        <v>129</v>
      </c>
      <c r="BK31" s="51" t="s">
        <v>129</v>
      </c>
      <c r="BL31" s="51" t="s">
        <v>129</v>
      </c>
      <c r="BM31" s="51" t="s">
        <v>129</v>
      </c>
    </row>
    <row r="32" spans="1:65" ht="15" customHeight="1" x14ac:dyDescent="0.2">
      <c r="A32" s="51" t="s">
        <v>132</v>
      </c>
      <c r="C32" s="51">
        <v>1</v>
      </c>
      <c r="E32" s="51">
        <v>3</v>
      </c>
      <c r="F32" s="51" t="s">
        <v>129</v>
      </c>
      <c r="G32" s="51">
        <v>1</v>
      </c>
      <c r="H32" s="51" t="s">
        <v>129</v>
      </c>
      <c r="I32" s="51">
        <v>0</v>
      </c>
      <c r="J32" s="51" t="s">
        <v>129</v>
      </c>
      <c r="K32" s="51" t="s">
        <v>129</v>
      </c>
      <c r="L32" s="51" t="s">
        <v>129</v>
      </c>
      <c r="M32" s="51" t="s">
        <v>129</v>
      </c>
      <c r="N32" s="51" t="s">
        <v>129</v>
      </c>
      <c r="O32" s="51" t="s">
        <v>129</v>
      </c>
      <c r="P32" s="51" t="s">
        <v>129</v>
      </c>
      <c r="Q32" s="51" t="s">
        <v>129</v>
      </c>
      <c r="R32" s="51" t="s">
        <v>129</v>
      </c>
      <c r="S32" s="51">
        <v>1</v>
      </c>
      <c r="T32" s="51" t="s">
        <v>129</v>
      </c>
      <c r="U32" s="51">
        <v>4</v>
      </c>
      <c r="V32" s="51" t="s">
        <v>129</v>
      </c>
      <c r="W32" s="51">
        <v>0</v>
      </c>
      <c r="X32" s="51" t="s">
        <v>129</v>
      </c>
      <c r="Y32" s="51">
        <v>0</v>
      </c>
      <c r="Z32" s="51" t="s">
        <v>129</v>
      </c>
      <c r="AA32" s="51" t="s">
        <v>129</v>
      </c>
      <c r="AB32" s="51" t="s">
        <v>129</v>
      </c>
      <c r="AC32" s="51" t="s">
        <v>129</v>
      </c>
      <c r="AD32" s="51" t="s">
        <v>129</v>
      </c>
      <c r="AE32" s="51" t="s">
        <v>129</v>
      </c>
      <c r="AF32" s="51" t="s">
        <v>129</v>
      </c>
      <c r="AG32" s="51" t="s">
        <v>129</v>
      </c>
      <c r="AH32" s="51" t="s">
        <v>129</v>
      </c>
      <c r="AI32" s="51">
        <v>8</v>
      </c>
      <c r="AJ32" s="51" t="s">
        <v>129</v>
      </c>
      <c r="AK32" s="51">
        <v>6</v>
      </c>
      <c r="AL32" s="51" t="s">
        <v>129</v>
      </c>
      <c r="AM32" s="51">
        <v>2</v>
      </c>
      <c r="AN32" s="51" t="s">
        <v>129</v>
      </c>
      <c r="AO32" s="51">
        <v>0</v>
      </c>
      <c r="AP32" s="51" t="s">
        <v>129</v>
      </c>
      <c r="AQ32" s="51" t="s">
        <v>129</v>
      </c>
      <c r="AR32" s="51" t="s">
        <v>129</v>
      </c>
      <c r="AS32" s="51" t="s">
        <v>129</v>
      </c>
      <c r="AT32" s="51" t="s">
        <v>129</v>
      </c>
      <c r="AU32" s="51" t="s">
        <v>129</v>
      </c>
      <c r="AV32" s="51" t="s">
        <v>129</v>
      </c>
      <c r="AW32" s="51" t="s">
        <v>129</v>
      </c>
      <c r="AX32" s="51" t="s">
        <v>129</v>
      </c>
      <c r="AY32" s="51">
        <v>1</v>
      </c>
      <c r="AZ32" s="51" t="s">
        <v>129</v>
      </c>
      <c r="BA32" s="51">
        <v>2</v>
      </c>
      <c r="BB32" s="51" t="s">
        <v>129</v>
      </c>
      <c r="BC32" s="51">
        <v>2</v>
      </c>
      <c r="BD32" s="51" t="s">
        <v>129</v>
      </c>
      <c r="BE32" s="51">
        <v>0</v>
      </c>
      <c r="BF32" s="51" t="s">
        <v>129</v>
      </c>
      <c r="BG32" s="51" t="s">
        <v>129</v>
      </c>
      <c r="BH32" s="51" t="s">
        <v>129</v>
      </c>
      <c r="BI32" s="51" t="s">
        <v>129</v>
      </c>
      <c r="BJ32" s="51" t="s">
        <v>129</v>
      </c>
      <c r="BK32" s="51" t="s">
        <v>129</v>
      </c>
      <c r="BL32" s="51" t="s">
        <v>129</v>
      </c>
      <c r="BM32" s="51" t="s">
        <v>129</v>
      </c>
    </row>
    <row r="33" spans="1:65" ht="15" customHeight="1" x14ac:dyDescent="0.2">
      <c r="A33" s="51" t="s">
        <v>131</v>
      </c>
      <c r="C33" s="51">
        <v>1</v>
      </c>
      <c r="E33" s="51">
        <v>5</v>
      </c>
      <c r="F33" s="51" t="s">
        <v>129</v>
      </c>
      <c r="G33" s="51">
        <v>0</v>
      </c>
      <c r="H33" s="51" t="s">
        <v>129</v>
      </c>
      <c r="I33" s="51">
        <v>0</v>
      </c>
      <c r="J33" s="51" t="s">
        <v>129</v>
      </c>
      <c r="K33" s="51" t="s">
        <v>129</v>
      </c>
      <c r="L33" s="51" t="s">
        <v>129</v>
      </c>
      <c r="M33" s="51" t="s">
        <v>129</v>
      </c>
      <c r="N33" s="51" t="s">
        <v>129</v>
      </c>
      <c r="O33" s="51" t="s">
        <v>129</v>
      </c>
      <c r="P33" s="51" t="s">
        <v>129</v>
      </c>
      <c r="Q33" s="51" t="s">
        <v>129</v>
      </c>
      <c r="R33" s="51" t="s">
        <v>129</v>
      </c>
      <c r="S33" s="51">
        <v>2</v>
      </c>
      <c r="T33" s="51" t="s">
        <v>129</v>
      </c>
      <c r="U33" s="51">
        <v>4</v>
      </c>
      <c r="V33" s="51" t="s">
        <v>129</v>
      </c>
      <c r="W33" s="51">
        <v>2</v>
      </c>
      <c r="X33" s="51" t="s">
        <v>129</v>
      </c>
      <c r="Y33" s="51">
        <v>0</v>
      </c>
      <c r="Z33" s="51" t="s">
        <v>129</v>
      </c>
      <c r="AA33" s="51" t="s">
        <v>129</v>
      </c>
      <c r="AB33" s="51" t="s">
        <v>129</v>
      </c>
      <c r="AC33" s="51" t="s">
        <v>129</v>
      </c>
      <c r="AD33" s="51" t="s">
        <v>129</v>
      </c>
      <c r="AE33" s="51" t="s">
        <v>129</v>
      </c>
      <c r="AF33" s="51" t="s">
        <v>129</v>
      </c>
      <c r="AG33" s="51" t="s">
        <v>129</v>
      </c>
      <c r="AH33" s="51" t="s">
        <v>129</v>
      </c>
      <c r="AI33" s="51">
        <v>6</v>
      </c>
      <c r="AJ33" s="51" t="s">
        <v>129</v>
      </c>
      <c r="AK33" s="51">
        <v>5</v>
      </c>
      <c r="AL33" s="51" t="s">
        <v>129</v>
      </c>
      <c r="AM33" s="51">
        <v>1</v>
      </c>
      <c r="AN33" s="51" t="s">
        <v>129</v>
      </c>
      <c r="AO33" s="51">
        <v>0</v>
      </c>
      <c r="AP33" s="51" t="s">
        <v>129</v>
      </c>
      <c r="AQ33" s="51" t="s">
        <v>129</v>
      </c>
      <c r="AR33" s="51" t="s">
        <v>129</v>
      </c>
      <c r="AS33" s="51" t="s">
        <v>129</v>
      </c>
      <c r="AT33" s="51" t="s">
        <v>129</v>
      </c>
      <c r="AU33" s="51" t="s">
        <v>129</v>
      </c>
      <c r="AV33" s="51" t="s">
        <v>129</v>
      </c>
      <c r="AW33" s="51" t="s">
        <v>129</v>
      </c>
      <c r="AX33" s="51" t="s">
        <v>129</v>
      </c>
      <c r="AY33" s="51">
        <v>0</v>
      </c>
      <c r="AZ33" s="51" t="s">
        <v>129</v>
      </c>
      <c r="BA33" s="51">
        <v>3</v>
      </c>
      <c r="BB33" s="51" t="s">
        <v>129</v>
      </c>
      <c r="BC33" s="51">
        <v>1</v>
      </c>
      <c r="BD33" s="51" t="s">
        <v>129</v>
      </c>
      <c r="BE33" s="51">
        <v>0</v>
      </c>
      <c r="BF33" s="51" t="s">
        <v>129</v>
      </c>
      <c r="BG33" s="51" t="s">
        <v>129</v>
      </c>
      <c r="BH33" s="51" t="s">
        <v>129</v>
      </c>
      <c r="BI33" s="51" t="s">
        <v>129</v>
      </c>
      <c r="BJ33" s="51" t="s">
        <v>129</v>
      </c>
      <c r="BK33" s="51" t="s">
        <v>129</v>
      </c>
      <c r="BL33" s="51" t="s">
        <v>129</v>
      </c>
      <c r="BM33" s="51" t="s">
        <v>129</v>
      </c>
    </row>
    <row r="34" spans="1:65" ht="15" customHeight="1" x14ac:dyDescent="0.2">
      <c r="A34" s="51" t="s">
        <v>130</v>
      </c>
      <c r="C34" s="51">
        <v>0</v>
      </c>
      <c r="E34" s="51">
        <v>1</v>
      </c>
      <c r="F34" s="51" t="s">
        <v>129</v>
      </c>
      <c r="G34" s="51">
        <v>1</v>
      </c>
      <c r="H34" s="51" t="s">
        <v>129</v>
      </c>
      <c r="I34" s="51">
        <v>0</v>
      </c>
      <c r="J34" s="51" t="s">
        <v>129</v>
      </c>
      <c r="K34" s="51" t="s">
        <v>129</v>
      </c>
      <c r="L34" s="51" t="s">
        <v>129</v>
      </c>
      <c r="M34" s="51" t="s">
        <v>129</v>
      </c>
      <c r="N34" s="51" t="s">
        <v>129</v>
      </c>
      <c r="O34" s="51" t="s">
        <v>129</v>
      </c>
      <c r="P34" s="51" t="s">
        <v>129</v>
      </c>
      <c r="Q34" s="51" t="s">
        <v>129</v>
      </c>
      <c r="R34" s="51" t="s">
        <v>129</v>
      </c>
      <c r="S34" s="51">
        <v>1</v>
      </c>
      <c r="T34" s="51" t="s">
        <v>129</v>
      </c>
      <c r="U34" s="51">
        <v>6</v>
      </c>
      <c r="V34" s="51" t="s">
        <v>129</v>
      </c>
      <c r="W34" s="51">
        <v>0</v>
      </c>
      <c r="X34" s="51" t="s">
        <v>129</v>
      </c>
      <c r="Y34" s="51">
        <v>0</v>
      </c>
      <c r="Z34" s="51" t="s">
        <v>129</v>
      </c>
      <c r="AA34" s="51" t="s">
        <v>129</v>
      </c>
      <c r="AB34" s="51" t="s">
        <v>129</v>
      </c>
      <c r="AC34" s="51" t="s">
        <v>129</v>
      </c>
      <c r="AD34" s="51" t="s">
        <v>129</v>
      </c>
      <c r="AE34" s="51" t="s">
        <v>129</v>
      </c>
      <c r="AF34" s="51" t="s">
        <v>129</v>
      </c>
      <c r="AG34" s="51" t="s">
        <v>129</v>
      </c>
      <c r="AH34" s="51" t="s">
        <v>129</v>
      </c>
      <c r="AI34" s="51">
        <v>3</v>
      </c>
      <c r="AJ34" s="51" t="s">
        <v>129</v>
      </c>
      <c r="AK34" s="51">
        <v>3</v>
      </c>
      <c r="AL34" s="51" t="s">
        <v>129</v>
      </c>
      <c r="AM34" s="51">
        <v>1</v>
      </c>
      <c r="AN34" s="51" t="s">
        <v>129</v>
      </c>
      <c r="AO34" s="51">
        <v>0</v>
      </c>
      <c r="AP34" s="51" t="s">
        <v>129</v>
      </c>
      <c r="AQ34" s="51" t="s">
        <v>129</v>
      </c>
      <c r="AR34" s="51" t="s">
        <v>129</v>
      </c>
      <c r="AS34" s="51" t="s">
        <v>129</v>
      </c>
      <c r="AT34" s="51" t="s">
        <v>129</v>
      </c>
      <c r="AU34" s="51" t="s">
        <v>129</v>
      </c>
      <c r="AV34" s="51" t="s">
        <v>129</v>
      </c>
      <c r="AW34" s="51" t="s">
        <v>129</v>
      </c>
      <c r="AX34" s="51" t="s">
        <v>129</v>
      </c>
      <c r="AY34" s="51">
        <v>1</v>
      </c>
      <c r="AZ34" s="51" t="s">
        <v>129</v>
      </c>
      <c r="BA34" s="51">
        <v>3</v>
      </c>
      <c r="BB34" s="51" t="s">
        <v>129</v>
      </c>
      <c r="BC34" s="51">
        <v>4</v>
      </c>
      <c r="BD34" s="51" t="s">
        <v>129</v>
      </c>
      <c r="BE34" s="51">
        <v>0</v>
      </c>
      <c r="BF34" s="51" t="s">
        <v>129</v>
      </c>
      <c r="BG34" s="51" t="s">
        <v>129</v>
      </c>
      <c r="BH34" s="51" t="s">
        <v>129</v>
      </c>
      <c r="BI34" s="51" t="s">
        <v>129</v>
      </c>
      <c r="BJ34" s="51" t="s">
        <v>129</v>
      </c>
      <c r="BK34" s="51" t="s">
        <v>129</v>
      </c>
      <c r="BL34" s="51" t="s">
        <v>129</v>
      </c>
      <c r="BM34" s="51"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A91D-6560-47F6-BF43-C24A2DAC4C41}">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61" t="s">
        <v>173</v>
      </c>
      <c r="B1" s="61"/>
      <c r="C1" s="66" t="s">
        <v>175</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1" t="s">
        <v>172</v>
      </c>
      <c r="B2" s="61"/>
      <c r="C2" s="68">
        <v>44291</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1" t="s">
        <v>9</v>
      </c>
      <c r="B3" s="61"/>
      <c r="C3" s="67">
        <v>0.29166666666666669</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1" t="s">
        <v>171</v>
      </c>
      <c r="B4" s="61"/>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1" t="s">
        <v>170</v>
      </c>
      <c r="B5" s="61"/>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1" t="s">
        <v>129</v>
      </c>
      <c r="B6" s="61"/>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1" t="s">
        <v>129</v>
      </c>
      <c r="B7" s="61"/>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1" t="s">
        <v>129</v>
      </c>
      <c r="B8" s="61"/>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1" t="s">
        <v>129</v>
      </c>
      <c r="B9" s="61"/>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1" t="s">
        <v>169</v>
      </c>
      <c r="B10" s="61"/>
      <c r="C10" s="62" t="s">
        <v>168</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1" t="s">
        <v>167</v>
      </c>
      <c r="B11" s="61"/>
      <c r="C11" s="66" t="s">
        <v>176</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1" t="s">
        <v>129</v>
      </c>
      <c r="B12" s="63" t="s">
        <v>165</v>
      </c>
      <c r="C12" s="64"/>
      <c r="D12" s="64"/>
      <c r="E12" s="64"/>
      <c r="F12" s="64"/>
      <c r="G12" s="64"/>
      <c r="H12" s="64"/>
      <c r="I12" s="65"/>
      <c r="J12" s="63" t="s">
        <v>161</v>
      </c>
      <c r="K12" s="64"/>
      <c r="L12" s="64"/>
      <c r="M12" s="64"/>
      <c r="N12" s="64"/>
      <c r="O12" s="64"/>
      <c r="P12" s="64"/>
      <c r="Q12" s="65"/>
      <c r="R12" s="63" t="s">
        <v>164</v>
      </c>
      <c r="S12" s="64"/>
      <c r="T12" s="64"/>
      <c r="U12" s="64"/>
      <c r="V12" s="64"/>
      <c r="W12" s="64"/>
      <c r="X12" s="64"/>
      <c r="Y12" s="65"/>
      <c r="Z12" s="63" t="s">
        <v>161</v>
      </c>
      <c r="AA12" s="64"/>
      <c r="AB12" s="64"/>
      <c r="AC12" s="64"/>
      <c r="AD12" s="64"/>
      <c r="AE12" s="64"/>
      <c r="AF12" s="64"/>
      <c r="AG12" s="65"/>
      <c r="AH12" s="63" t="s">
        <v>163</v>
      </c>
      <c r="AI12" s="64"/>
      <c r="AJ12" s="64"/>
      <c r="AK12" s="64"/>
      <c r="AL12" s="64"/>
      <c r="AM12" s="64"/>
      <c r="AN12" s="64"/>
      <c r="AO12" s="65"/>
      <c r="AP12" s="63" t="s">
        <v>161</v>
      </c>
      <c r="AQ12" s="64"/>
      <c r="AR12" s="64"/>
      <c r="AS12" s="64"/>
      <c r="AT12" s="64"/>
      <c r="AU12" s="64"/>
      <c r="AV12" s="64"/>
      <c r="AW12" s="65"/>
      <c r="AX12" s="63" t="s">
        <v>162</v>
      </c>
      <c r="AY12" s="64"/>
      <c r="AZ12" s="64"/>
      <c r="BA12" s="64"/>
      <c r="BB12" s="64"/>
      <c r="BC12" s="64"/>
      <c r="BD12" s="64"/>
      <c r="BE12" s="65"/>
      <c r="BF12" s="63" t="s">
        <v>161</v>
      </c>
      <c r="BG12" s="64"/>
      <c r="BH12" s="64"/>
      <c r="BI12" s="64"/>
      <c r="BJ12" s="64"/>
      <c r="BK12" s="64"/>
      <c r="BL12" s="64"/>
      <c r="BM12" s="65"/>
    </row>
    <row r="13" spans="1:65" ht="15" customHeight="1" x14ac:dyDescent="0.2">
      <c r="A13" s="51" t="s">
        <v>129</v>
      </c>
      <c r="B13" s="58" t="s">
        <v>160</v>
      </c>
      <c r="C13" s="59"/>
      <c r="D13" s="59"/>
      <c r="E13" s="59"/>
      <c r="F13" s="59"/>
      <c r="G13" s="59"/>
      <c r="H13" s="59"/>
      <c r="I13" s="60"/>
      <c r="J13" s="58" t="s">
        <v>159</v>
      </c>
      <c r="K13" s="59"/>
      <c r="L13" s="59"/>
      <c r="M13" s="59"/>
      <c r="N13" s="59"/>
      <c r="O13" s="59"/>
      <c r="P13" s="59"/>
      <c r="Q13" s="60"/>
      <c r="R13" s="58" t="s">
        <v>158</v>
      </c>
      <c r="S13" s="59"/>
      <c r="T13" s="59"/>
      <c r="U13" s="59"/>
      <c r="V13" s="59"/>
      <c r="W13" s="59"/>
      <c r="X13" s="59"/>
      <c r="Y13" s="60"/>
      <c r="Z13" s="58" t="s">
        <v>157</v>
      </c>
      <c r="AA13" s="59"/>
      <c r="AB13" s="59"/>
      <c r="AC13" s="59"/>
      <c r="AD13" s="59"/>
      <c r="AE13" s="59"/>
      <c r="AF13" s="59"/>
      <c r="AG13" s="60"/>
      <c r="AH13" s="58" t="s">
        <v>156</v>
      </c>
      <c r="AI13" s="59"/>
      <c r="AJ13" s="59"/>
      <c r="AK13" s="59"/>
      <c r="AL13" s="59"/>
      <c r="AM13" s="59"/>
      <c r="AN13" s="59"/>
      <c r="AO13" s="60"/>
      <c r="AP13" s="58" t="s">
        <v>155</v>
      </c>
      <c r="AQ13" s="59"/>
      <c r="AR13" s="59"/>
      <c r="AS13" s="59"/>
      <c r="AT13" s="59"/>
      <c r="AU13" s="59"/>
      <c r="AV13" s="59"/>
      <c r="AW13" s="60"/>
      <c r="AX13" s="58" t="s">
        <v>154</v>
      </c>
      <c r="AY13" s="59"/>
      <c r="AZ13" s="59"/>
      <c r="BA13" s="59"/>
      <c r="BB13" s="59"/>
      <c r="BC13" s="59"/>
      <c r="BD13" s="59"/>
      <c r="BE13" s="60"/>
      <c r="BF13" s="58" t="s">
        <v>153</v>
      </c>
      <c r="BG13" s="59"/>
      <c r="BH13" s="59"/>
      <c r="BI13" s="59"/>
      <c r="BJ13" s="59"/>
      <c r="BK13" s="59"/>
      <c r="BL13" s="59"/>
      <c r="BM13" s="60"/>
    </row>
    <row r="14" spans="1:65" ht="15" customHeight="1" x14ac:dyDescent="0.2">
      <c r="A14" s="53" t="s">
        <v>9</v>
      </c>
      <c r="B14" s="53" t="s">
        <v>152</v>
      </c>
      <c r="C14" s="53" t="s">
        <v>151</v>
      </c>
      <c r="D14" s="53" t="s">
        <v>150</v>
      </c>
      <c r="E14" s="53" t="s">
        <v>149</v>
      </c>
      <c r="F14" s="53" t="s">
        <v>148</v>
      </c>
      <c r="G14" s="53" t="s">
        <v>147</v>
      </c>
      <c r="H14" s="53" t="s">
        <v>146</v>
      </c>
      <c r="I14" s="53" t="s">
        <v>100</v>
      </c>
      <c r="J14" s="53" t="s">
        <v>152</v>
      </c>
      <c r="K14" s="53" t="s">
        <v>151</v>
      </c>
      <c r="L14" s="53" t="s">
        <v>150</v>
      </c>
      <c r="M14" s="53" t="s">
        <v>149</v>
      </c>
      <c r="N14" s="53" t="s">
        <v>148</v>
      </c>
      <c r="O14" s="53" t="s">
        <v>147</v>
      </c>
      <c r="P14" s="53" t="s">
        <v>146</v>
      </c>
      <c r="Q14" s="53" t="s">
        <v>100</v>
      </c>
      <c r="R14" s="53" t="s">
        <v>152</v>
      </c>
      <c r="S14" s="53" t="s">
        <v>151</v>
      </c>
      <c r="T14" s="53" t="s">
        <v>150</v>
      </c>
      <c r="U14" s="53" t="s">
        <v>149</v>
      </c>
      <c r="V14" s="53" t="s">
        <v>148</v>
      </c>
      <c r="W14" s="53" t="s">
        <v>147</v>
      </c>
      <c r="X14" s="53" t="s">
        <v>146</v>
      </c>
      <c r="Y14" s="53" t="s">
        <v>100</v>
      </c>
      <c r="Z14" s="53" t="s">
        <v>152</v>
      </c>
      <c r="AA14" s="53" t="s">
        <v>151</v>
      </c>
      <c r="AB14" s="53" t="s">
        <v>150</v>
      </c>
      <c r="AC14" s="53" t="s">
        <v>149</v>
      </c>
      <c r="AD14" s="53" t="s">
        <v>148</v>
      </c>
      <c r="AE14" s="53" t="s">
        <v>147</v>
      </c>
      <c r="AF14" s="53" t="s">
        <v>146</v>
      </c>
      <c r="AG14" s="53" t="s">
        <v>100</v>
      </c>
      <c r="AH14" s="53" t="s">
        <v>152</v>
      </c>
      <c r="AI14" s="53" t="s">
        <v>151</v>
      </c>
      <c r="AJ14" s="53" t="s">
        <v>150</v>
      </c>
      <c r="AK14" s="53" t="s">
        <v>149</v>
      </c>
      <c r="AL14" s="53" t="s">
        <v>148</v>
      </c>
      <c r="AM14" s="53" t="s">
        <v>147</v>
      </c>
      <c r="AN14" s="53" t="s">
        <v>146</v>
      </c>
      <c r="AO14" s="53" t="s">
        <v>100</v>
      </c>
      <c r="AP14" s="53" t="s">
        <v>152</v>
      </c>
      <c r="AQ14" s="53" t="s">
        <v>151</v>
      </c>
      <c r="AR14" s="53" t="s">
        <v>150</v>
      </c>
      <c r="AS14" s="53" t="s">
        <v>149</v>
      </c>
      <c r="AT14" s="53" t="s">
        <v>148</v>
      </c>
      <c r="AU14" s="53" t="s">
        <v>147</v>
      </c>
      <c r="AV14" s="53" t="s">
        <v>146</v>
      </c>
      <c r="AW14" s="53" t="s">
        <v>100</v>
      </c>
      <c r="AX14" s="53" t="s">
        <v>152</v>
      </c>
      <c r="AY14" s="53" t="s">
        <v>151</v>
      </c>
      <c r="AZ14" s="53" t="s">
        <v>150</v>
      </c>
      <c r="BA14" s="53" t="s">
        <v>149</v>
      </c>
      <c r="BB14" s="53" t="s">
        <v>148</v>
      </c>
      <c r="BC14" s="53" t="s">
        <v>147</v>
      </c>
      <c r="BD14" s="53" t="s">
        <v>146</v>
      </c>
      <c r="BE14" s="53" t="s">
        <v>100</v>
      </c>
      <c r="BF14" s="53" t="s">
        <v>152</v>
      </c>
      <c r="BG14" s="53" t="s">
        <v>151</v>
      </c>
      <c r="BH14" s="53" t="s">
        <v>150</v>
      </c>
      <c r="BI14" s="53" t="s">
        <v>149</v>
      </c>
      <c r="BJ14" s="53" t="s">
        <v>148</v>
      </c>
      <c r="BK14" s="53" t="s">
        <v>147</v>
      </c>
      <c r="BL14" s="53" t="s">
        <v>146</v>
      </c>
      <c r="BM14" s="53" t="s">
        <v>100</v>
      </c>
    </row>
    <row r="15" spans="1:65" ht="15" customHeight="1" x14ac:dyDescent="0.2">
      <c r="A15" s="51" t="s">
        <v>145</v>
      </c>
      <c r="B15" s="51" t="s">
        <v>129</v>
      </c>
      <c r="C15" s="51">
        <v>0</v>
      </c>
      <c r="D15" s="51" t="s">
        <v>129</v>
      </c>
      <c r="E15" s="51">
        <v>0</v>
      </c>
      <c r="F15" s="51" t="s">
        <v>129</v>
      </c>
      <c r="G15" s="51">
        <v>0</v>
      </c>
      <c r="H15" s="51" t="s">
        <v>129</v>
      </c>
      <c r="I15" s="51">
        <v>0</v>
      </c>
      <c r="J15" s="51" t="s">
        <v>129</v>
      </c>
      <c r="K15" s="51" t="s">
        <v>129</v>
      </c>
      <c r="L15" s="51" t="s">
        <v>129</v>
      </c>
      <c r="M15" s="51" t="s">
        <v>129</v>
      </c>
      <c r="N15" s="51" t="s">
        <v>129</v>
      </c>
      <c r="O15" s="51" t="s">
        <v>129</v>
      </c>
      <c r="P15" s="51" t="s">
        <v>129</v>
      </c>
      <c r="Q15" s="51" t="s">
        <v>129</v>
      </c>
      <c r="R15" s="51" t="s">
        <v>129</v>
      </c>
      <c r="S15" s="51">
        <v>1</v>
      </c>
      <c r="T15" s="51" t="s">
        <v>129</v>
      </c>
      <c r="U15" s="51">
        <v>0</v>
      </c>
      <c r="V15" s="51" t="s">
        <v>129</v>
      </c>
      <c r="W15" s="51">
        <v>0</v>
      </c>
      <c r="X15" s="51" t="s">
        <v>129</v>
      </c>
      <c r="Y15" s="51">
        <v>0</v>
      </c>
      <c r="Z15" s="51" t="s">
        <v>129</v>
      </c>
      <c r="AA15" s="51" t="s">
        <v>129</v>
      </c>
      <c r="AB15" s="51" t="s">
        <v>129</v>
      </c>
      <c r="AC15" s="51" t="s">
        <v>129</v>
      </c>
      <c r="AD15" s="51" t="s">
        <v>129</v>
      </c>
      <c r="AE15" s="51" t="s">
        <v>129</v>
      </c>
      <c r="AF15" s="51" t="s">
        <v>129</v>
      </c>
      <c r="AG15" s="51" t="s">
        <v>129</v>
      </c>
      <c r="AH15" s="51" t="s">
        <v>129</v>
      </c>
      <c r="AI15" s="51">
        <v>0</v>
      </c>
      <c r="AJ15" s="51" t="s">
        <v>129</v>
      </c>
      <c r="AK15" s="51">
        <v>0</v>
      </c>
      <c r="AL15" s="51" t="s">
        <v>129</v>
      </c>
      <c r="AM15" s="51">
        <v>0</v>
      </c>
      <c r="AN15" s="51" t="s">
        <v>129</v>
      </c>
      <c r="AO15" s="51">
        <v>0</v>
      </c>
      <c r="AP15" s="51" t="s">
        <v>129</v>
      </c>
      <c r="AQ15" s="51" t="s">
        <v>129</v>
      </c>
      <c r="AR15" s="51" t="s">
        <v>129</v>
      </c>
      <c r="AS15" s="51" t="s">
        <v>129</v>
      </c>
      <c r="AT15" s="51" t="s">
        <v>129</v>
      </c>
      <c r="AU15" s="51" t="s">
        <v>129</v>
      </c>
      <c r="AV15" s="51" t="s">
        <v>129</v>
      </c>
      <c r="AW15" s="51" t="s">
        <v>129</v>
      </c>
      <c r="AX15" s="51" t="s">
        <v>129</v>
      </c>
      <c r="AY15" s="51">
        <v>0</v>
      </c>
      <c r="AZ15" s="51" t="s">
        <v>129</v>
      </c>
      <c r="BA15" s="51">
        <v>1</v>
      </c>
      <c r="BB15" s="51" t="s">
        <v>129</v>
      </c>
      <c r="BC15" s="51">
        <v>0</v>
      </c>
      <c r="BD15" s="51" t="s">
        <v>129</v>
      </c>
      <c r="BE15" s="51">
        <v>0</v>
      </c>
      <c r="BF15" s="51" t="s">
        <v>129</v>
      </c>
      <c r="BG15" s="51" t="s">
        <v>129</v>
      </c>
      <c r="BH15" s="51" t="s">
        <v>129</v>
      </c>
      <c r="BI15" s="51" t="s">
        <v>129</v>
      </c>
      <c r="BJ15" s="51" t="s">
        <v>129</v>
      </c>
      <c r="BK15" s="51" t="s">
        <v>129</v>
      </c>
      <c r="BL15" s="51" t="s">
        <v>129</v>
      </c>
      <c r="BM15" s="51" t="s">
        <v>129</v>
      </c>
    </row>
    <row r="16" spans="1:65" ht="15" customHeight="1" x14ac:dyDescent="0.2">
      <c r="A16" s="51" t="s">
        <v>144</v>
      </c>
      <c r="B16" s="51" t="s">
        <v>129</v>
      </c>
      <c r="C16" s="51">
        <v>0</v>
      </c>
      <c r="D16" s="51" t="s">
        <v>129</v>
      </c>
      <c r="E16" s="51">
        <v>0</v>
      </c>
      <c r="F16" s="51" t="s">
        <v>129</v>
      </c>
      <c r="G16" s="51">
        <v>0</v>
      </c>
      <c r="H16" s="51" t="s">
        <v>129</v>
      </c>
      <c r="I16" s="51">
        <v>0</v>
      </c>
      <c r="J16" s="51" t="s">
        <v>129</v>
      </c>
      <c r="K16" s="51" t="s">
        <v>129</v>
      </c>
      <c r="L16" s="51" t="s">
        <v>129</v>
      </c>
      <c r="M16" s="51" t="s">
        <v>129</v>
      </c>
      <c r="N16" s="51" t="s">
        <v>129</v>
      </c>
      <c r="O16" s="51" t="s">
        <v>129</v>
      </c>
      <c r="P16" s="51" t="s">
        <v>129</v>
      </c>
      <c r="Q16" s="51" t="s">
        <v>129</v>
      </c>
      <c r="R16" s="51" t="s">
        <v>129</v>
      </c>
      <c r="S16" s="51">
        <v>0</v>
      </c>
      <c r="T16" s="51" t="s">
        <v>129</v>
      </c>
      <c r="U16" s="51">
        <v>2</v>
      </c>
      <c r="V16" s="51" t="s">
        <v>129</v>
      </c>
      <c r="W16" s="51">
        <v>0</v>
      </c>
      <c r="X16" s="51" t="s">
        <v>129</v>
      </c>
      <c r="Y16" s="51">
        <v>0</v>
      </c>
      <c r="Z16" s="51" t="s">
        <v>129</v>
      </c>
      <c r="AA16" s="51" t="s">
        <v>129</v>
      </c>
      <c r="AB16" s="51" t="s">
        <v>129</v>
      </c>
      <c r="AC16" s="51" t="s">
        <v>129</v>
      </c>
      <c r="AD16" s="51" t="s">
        <v>129</v>
      </c>
      <c r="AE16" s="51" t="s">
        <v>129</v>
      </c>
      <c r="AF16" s="51" t="s">
        <v>129</v>
      </c>
      <c r="AG16" s="51" t="s">
        <v>129</v>
      </c>
      <c r="AH16" s="51" t="s">
        <v>129</v>
      </c>
      <c r="AI16" s="51">
        <v>0</v>
      </c>
      <c r="AJ16" s="51" t="s">
        <v>129</v>
      </c>
      <c r="AK16" s="51">
        <v>0</v>
      </c>
      <c r="AL16" s="51" t="s">
        <v>129</v>
      </c>
      <c r="AM16" s="51">
        <v>0</v>
      </c>
      <c r="AN16" s="51" t="s">
        <v>129</v>
      </c>
      <c r="AO16" s="51">
        <v>0</v>
      </c>
      <c r="AP16" s="51" t="s">
        <v>129</v>
      </c>
      <c r="AQ16" s="51" t="s">
        <v>129</v>
      </c>
      <c r="AR16" s="51" t="s">
        <v>129</v>
      </c>
      <c r="AS16" s="51" t="s">
        <v>129</v>
      </c>
      <c r="AT16" s="51" t="s">
        <v>129</v>
      </c>
      <c r="AU16" s="51" t="s">
        <v>129</v>
      </c>
      <c r="AV16" s="51" t="s">
        <v>129</v>
      </c>
      <c r="AW16" s="51" t="s">
        <v>129</v>
      </c>
      <c r="AX16" s="51" t="s">
        <v>129</v>
      </c>
      <c r="AY16" s="51">
        <v>0</v>
      </c>
      <c r="AZ16" s="51" t="s">
        <v>129</v>
      </c>
      <c r="BA16" s="51">
        <v>0</v>
      </c>
      <c r="BB16" s="51" t="s">
        <v>129</v>
      </c>
      <c r="BC16" s="51">
        <v>0</v>
      </c>
      <c r="BD16" s="51" t="s">
        <v>129</v>
      </c>
      <c r="BE16" s="51">
        <v>0</v>
      </c>
      <c r="BF16" s="51" t="s">
        <v>129</v>
      </c>
      <c r="BG16" s="51" t="s">
        <v>129</v>
      </c>
      <c r="BH16" s="51" t="s">
        <v>129</v>
      </c>
      <c r="BI16" s="51" t="s">
        <v>129</v>
      </c>
      <c r="BJ16" s="51" t="s">
        <v>129</v>
      </c>
      <c r="BK16" s="51" t="s">
        <v>129</v>
      </c>
      <c r="BL16" s="51" t="s">
        <v>129</v>
      </c>
      <c r="BM16" s="51" t="s">
        <v>129</v>
      </c>
    </row>
    <row r="17" spans="1:65" ht="15" customHeight="1" x14ac:dyDescent="0.2">
      <c r="A17" s="51" t="s">
        <v>143</v>
      </c>
      <c r="B17" s="51" t="s">
        <v>129</v>
      </c>
      <c r="C17" s="51">
        <v>0</v>
      </c>
      <c r="D17" s="51" t="s">
        <v>129</v>
      </c>
      <c r="E17" s="51">
        <v>0</v>
      </c>
      <c r="F17" s="51" t="s">
        <v>129</v>
      </c>
      <c r="G17" s="51">
        <v>0</v>
      </c>
      <c r="H17" s="51" t="s">
        <v>129</v>
      </c>
      <c r="I17" s="51">
        <v>0</v>
      </c>
      <c r="J17" s="51" t="s">
        <v>129</v>
      </c>
      <c r="K17" s="51" t="s">
        <v>129</v>
      </c>
      <c r="L17" s="51" t="s">
        <v>129</v>
      </c>
      <c r="M17" s="51" t="s">
        <v>129</v>
      </c>
      <c r="N17" s="51" t="s">
        <v>129</v>
      </c>
      <c r="O17" s="51" t="s">
        <v>129</v>
      </c>
      <c r="P17" s="51" t="s">
        <v>129</v>
      </c>
      <c r="Q17" s="51" t="s">
        <v>129</v>
      </c>
      <c r="R17" s="51" t="s">
        <v>129</v>
      </c>
      <c r="S17" s="51">
        <v>1</v>
      </c>
      <c r="T17" s="51" t="s">
        <v>129</v>
      </c>
      <c r="U17" s="51">
        <v>1</v>
      </c>
      <c r="V17" s="51" t="s">
        <v>129</v>
      </c>
      <c r="W17" s="51">
        <v>0</v>
      </c>
      <c r="X17" s="51" t="s">
        <v>129</v>
      </c>
      <c r="Y17" s="51">
        <v>0</v>
      </c>
      <c r="Z17" s="51" t="s">
        <v>129</v>
      </c>
      <c r="AA17" s="51" t="s">
        <v>129</v>
      </c>
      <c r="AB17" s="51" t="s">
        <v>129</v>
      </c>
      <c r="AC17" s="51" t="s">
        <v>129</v>
      </c>
      <c r="AD17" s="51" t="s">
        <v>129</v>
      </c>
      <c r="AE17" s="51" t="s">
        <v>129</v>
      </c>
      <c r="AF17" s="51" t="s">
        <v>129</v>
      </c>
      <c r="AG17" s="51" t="s">
        <v>129</v>
      </c>
      <c r="AH17" s="51" t="s">
        <v>129</v>
      </c>
      <c r="AI17" s="51">
        <v>0</v>
      </c>
      <c r="AJ17" s="51" t="s">
        <v>129</v>
      </c>
      <c r="AK17" s="51">
        <v>0</v>
      </c>
      <c r="AL17" s="51" t="s">
        <v>129</v>
      </c>
      <c r="AM17" s="51">
        <v>0</v>
      </c>
      <c r="AN17" s="51" t="s">
        <v>129</v>
      </c>
      <c r="AO17" s="51">
        <v>0</v>
      </c>
      <c r="AP17" s="51" t="s">
        <v>129</v>
      </c>
      <c r="AQ17" s="51" t="s">
        <v>129</v>
      </c>
      <c r="AR17" s="51" t="s">
        <v>129</v>
      </c>
      <c r="AS17" s="51" t="s">
        <v>129</v>
      </c>
      <c r="AT17" s="51" t="s">
        <v>129</v>
      </c>
      <c r="AU17" s="51" t="s">
        <v>129</v>
      </c>
      <c r="AV17" s="51" t="s">
        <v>129</v>
      </c>
      <c r="AW17" s="51" t="s">
        <v>129</v>
      </c>
      <c r="AX17" s="51" t="s">
        <v>129</v>
      </c>
      <c r="AY17" s="51">
        <v>0</v>
      </c>
      <c r="AZ17" s="51" t="s">
        <v>129</v>
      </c>
      <c r="BA17" s="51">
        <v>1</v>
      </c>
      <c r="BB17" s="51" t="s">
        <v>129</v>
      </c>
      <c r="BC17" s="51">
        <v>0</v>
      </c>
      <c r="BD17" s="51" t="s">
        <v>129</v>
      </c>
      <c r="BE17" s="51">
        <v>0</v>
      </c>
      <c r="BF17" s="51" t="s">
        <v>129</v>
      </c>
      <c r="BG17" s="51" t="s">
        <v>129</v>
      </c>
      <c r="BH17" s="51" t="s">
        <v>129</v>
      </c>
      <c r="BI17" s="51" t="s">
        <v>129</v>
      </c>
      <c r="BJ17" s="51" t="s">
        <v>129</v>
      </c>
      <c r="BK17" s="51" t="s">
        <v>129</v>
      </c>
      <c r="BL17" s="51" t="s">
        <v>129</v>
      </c>
      <c r="BM17" s="51" t="s">
        <v>129</v>
      </c>
    </row>
    <row r="18" spans="1:65" ht="15" customHeight="1" x14ac:dyDescent="0.2">
      <c r="A18" s="51" t="s">
        <v>142</v>
      </c>
      <c r="B18" s="51" t="s">
        <v>129</v>
      </c>
      <c r="C18" s="51">
        <v>0</v>
      </c>
      <c r="D18" s="51" t="s">
        <v>129</v>
      </c>
      <c r="E18" s="51">
        <v>0</v>
      </c>
      <c r="F18" s="51" t="s">
        <v>129</v>
      </c>
      <c r="G18" s="51">
        <v>0</v>
      </c>
      <c r="H18" s="51" t="s">
        <v>129</v>
      </c>
      <c r="I18" s="51">
        <v>0</v>
      </c>
      <c r="J18" s="51" t="s">
        <v>129</v>
      </c>
      <c r="K18" s="51" t="s">
        <v>129</v>
      </c>
      <c r="L18" s="51" t="s">
        <v>129</v>
      </c>
      <c r="M18" s="51" t="s">
        <v>129</v>
      </c>
      <c r="N18" s="51" t="s">
        <v>129</v>
      </c>
      <c r="O18" s="51" t="s">
        <v>129</v>
      </c>
      <c r="P18" s="51" t="s">
        <v>129</v>
      </c>
      <c r="Q18" s="51" t="s">
        <v>129</v>
      </c>
      <c r="R18" s="51" t="s">
        <v>129</v>
      </c>
      <c r="S18" s="51">
        <v>0</v>
      </c>
      <c r="T18" s="51" t="s">
        <v>129</v>
      </c>
      <c r="U18" s="51">
        <v>0</v>
      </c>
      <c r="V18" s="51" t="s">
        <v>129</v>
      </c>
      <c r="W18" s="51">
        <v>0</v>
      </c>
      <c r="X18" s="51" t="s">
        <v>129</v>
      </c>
      <c r="Y18" s="51">
        <v>0</v>
      </c>
      <c r="Z18" s="51" t="s">
        <v>129</v>
      </c>
      <c r="AA18" s="51" t="s">
        <v>129</v>
      </c>
      <c r="AB18" s="51" t="s">
        <v>129</v>
      </c>
      <c r="AC18" s="51" t="s">
        <v>129</v>
      </c>
      <c r="AD18" s="51" t="s">
        <v>129</v>
      </c>
      <c r="AE18" s="51" t="s">
        <v>129</v>
      </c>
      <c r="AF18" s="51" t="s">
        <v>129</v>
      </c>
      <c r="AG18" s="51" t="s">
        <v>129</v>
      </c>
      <c r="AH18" s="51" t="s">
        <v>129</v>
      </c>
      <c r="AI18" s="51">
        <v>0</v>
      </c>
      <c r="AJ18" s="51" t="s">
        <v>129</v>
      </c>
      <c r="AK18" s="51">
        <v>0</v>
      </c>
      <c r="AL18" s="51" t="s">
        <v>129</v>
      </c>
      <c r="AM18" s="51">
        <v>0</v>
      </c>
      <c r="AN18" s="51" t="s">
        <v>129</v>
      </c>
      <c r="AO18" s="51">
        <v>0</v>
      </c>
      <c r="AP18" s="51" t="s">
        <v>129</v>
      </c>
      <c r="AQ18" s="51" t="s">
        <v>129</v>
      </c>
      <c r="AR18" s="51" t="s">
        <v>129</v>
      </c>
      <c r="AS18" s="51" t="s">
        <v>129</v>
      </c>
      <c r="AT18" s="51" t="s">
        <v>129</v>
      </c>
      <c r="AU18" s="51" t="s">
        <v>129</v>
      </c>
      <c r="AV18" s="51" t="s">
        <v>129</v>
      </c>
      <c r="AW18" s="51" t="s">
        <v>129</v>
      </c>
      <c r="AX18" s="51" t="s">
        <v>129</v>
      </c>
      <c r="AY18" s="51">
        <v>0</v>
      </c>
      <c r="AZ18" s="51" t="s">
        <v>129</v>
      </c>
      <c r="BA18" s="51">
        <v>0</v>
      </c>
      <c r="BB18" s="51" t="s">
        <v>129</v>
      </c>
      <c r="BC18" s="51">
        <v>0</v>
      </c>
      <c r="BD18" s="51" t="s">
        <v>129</v>
      </c>
      <c r="BE18" s="51">
        <v>0</v>
      </c>
      <c r="BF18" s="51" t="s">
        <v>129</v>
      </c>
      <c r="BG18" s="51" t="s">
        <v>129</v>
      </c>
      <c r="BH18" s="51" t="s">
        <v>129</v>
      </c>
      <c r="BI18" s="51" t="s">
        <v>129</v>
      </c>
      <c r="BJ18" s="51" t="s">
        <v>129</v>
      </c>
      <c r="BK18" s="51" t="s">
        <v>129</v>
      </c>
      <c r="BL18" s="51" t="s">
        <v>129</v>
      </c>
      <c r="BM18" s="51" t="s">
        <v>129</v>
      </c>
    </row>
    <row r="19" spans="1:65" ht="15" customHeight="1" x14ac:dyDescent="0.2">
      <c r="A19" s="51" t="s">
        <v>141</v>
      </c>
      <c r="B19" s="51" t="s">
        <v>129</v>
      </c>
      <c r="C19" s="51">
        <v>0</v>
      </c>
      <c r="D19" s="51" t="s">
        <v>129</v>
      </c>
      <c r="E19" s="51">
        <v>0</v>
      </c>
      <c r="F19" s="51" t="s">
        <v>129</v>
      </c>
      <c r="G19" s="51">
        <v>0</v>
      </c>
      <c r="H19" s="51" t="s">
        <v>129</v>
      </c>
      <c r="I19" s="51">
        <v>0</v>
      </c>
      <c r="J19" s="51" t="s">
        <v>129</v>
      </c>
      <c r="K19" s="51" t="s">
        <v>129</v>
      </c>
      <c r="L19" s="51" t="s">
        <v>129</v>
      </c>
      <c r="M19" s="51" t="s">
        <v>129</v>
      </c>
      <c r="N19" s="51" t="s">
        <v>129</v>
      </c>
      <c r="O19" s="51" t="s">
        <v>129</v>
      </c>
      <c r="P19" s="51" t="s">
        <v>129</v>
      </c>
      <c r="Q19" s="51" t="s">
        <v>129</v>
      </c>
      <c r="R19" s="51" t="s">
        <v>129</v>
      </c>
      <c r="S19" s="51">
        <v>0</v>
      </c>
      <c r="T19" s="51" t="s">
        <v>129</v>
      </c>
      <c r="U19" s="51">
        <v>1</v>
      </c>
      <c r="V19" s="51" t="s">
        <v>129</v>
      </c>
      <c r="W19" s="51">
        <v>0</v>
      </c>
      <c r="X19" s="51" t="s">
        <v>129</v>
      </c>
      <c r="Y19" s="51">
        <v>0</v>
      </c>
      <c r="Z19" s="51" t="s">
        <v>129</v>
      </c>
      <c r="AA19" s="51" t="s">
        <v>129</v>
      </c>
      <c r="AB19" s="51" t="s">
        <v>129</v>
      </c>
      <c r="AC19" s="51" t="s">
        <v>129</v>
      </c>
      <c r="AD19" s="51" t="s">
        <v>129</v>
      </c>
      <c r="AE19" s="51" t="s">
        <v>129</v>
      </c>
      <c r="AF19" s="51" t="s">
        <v>129</v>
      </c>
      <c r="AG19" s="51" t="s">
        <v>129</v>
      </c>
      <c r="AH19" s="51" t="s">
        <v>129</v>
      </c>
      <c r="AI19" s="51">
        <v>0</v>
      </c>
      <c r="AJ19" s="51" t="s">
        <v>129</v>
      </c>
      <c r="AK19" s="51">
        <v>0</v>
      </c>
      <c r="AL19" s="51" t="s">
        <v>129</v>
      </c>
      <c r="AM19" s="51">
        <v>0</v>
      </c>
      <c r="AN19" s="51" t="s">
        <v>129</v>
      </c>
      <c r="AO19" s="51">
        <v>0</v>
      </c>
      <c r="AP19" s="51" t="s">
        <v>129</v>
      </c>
      <c r="AQ19" s="51" t="s">
        <v>129</v>
      </c>
      <c r="AR19" s="51" t="s">
        <v>129</v>
      </c>
      <c r="AS19" s="51" t="s">
        <v>129</v>
      </c>
      <c r="AT19" s="51" t="s">
        <v>129</v>
      </c>
      <c r="AU19" s="51" t="s">
        <v>129</v>
      </c>
      <c r="AV19" s="51" t="s">
        <v>129</v>
      </c>
      <c r="AW19" s="51" t="s">
        <v>129</v>
      </c>
      <c r="AX19" s="51" t="s">
        <v>129</v>
      </c>
      <c r="AY19" s="51">
        <v>0</v>
      </c>
      <c r="AZ19" s="51" t="s">
        <v>129</v>
      </c>
      <c r="BA19" s="51">
        <v>0</v>
      </c>
      <c r="BB19" s="51" t="s">
        <v>129</v>
      </c>
      <c r="BC19" s="51">
        <v>0</v>
      </c>
      <c r="BD19" s="51" t="s">
        <v>129</v>
      </c>
      <c r="BE19" s="51">
        <v>0</v>
      </c>
      <c r="BF19" s="51" t="s">
        <v>129</v>
      </c>
      <c r="BG19" s="51" t="s">
        <v>129</v>
      </c>
      <c r="BH19" s="51" t="s">
        <v>129</v>
      </c>
      <c r="BI19" s="51" t="s">
        <v>129</v>
      </c>
      <c r="BJ19" s="51" t="s">
        <v>129</v>
      </c>
      <c r="BK19" s="51" t="s">
        <v>129</v>
      </c>
      <c r="BL19" s="51" t="s">
        <v>129</v>
      </c>
      <c r="BM19" s="51" t="s">
        <v>129</v>
      </c>
    </row>
    <row r="20" spans="1:65" ht="15" customHeight="1" x14ac:dyDescent="0.2">
      <c r="A20" s="51" t="s">
        <v>140</v>
      </c>
      <c r="B20" s="51" t="s">
        <v>129</v>
      </c>
      <c r="C20" s="51">
        <v>0</v>
      </c>
      <c r="D20" s="51" t="s">
        <v>129</v>
      </c>
      <c r="E20" s="51">
        <v>0</v>
      </c>
      <c r="F20" s="51" t="s">
        <v>129</v>
      </c>
      <c r="G20" s="51">
        <v>0</v>
      </c>
      <c r="H20" s="51" t="s">
        <v>129</v>
      </c>
      <c r="I20" s="51">
        <v>0</v>
      </c>
      <c r="J20" s="51" t="s">
        <v>129</v>
      </c>
      <c r="K20" s="51" t="s">
        <v>129</v>
      </c>
      <c r="L20" s="51" t="s">
        <v>129</v>
      </c>
      <c r="M20" s="51" t="s">
        <v>129</v>
      </c>
      <c r="N20" s="51" t="s">
        <v>129</v>
      </c>
      <c r="O20" s="51" t="s">
        <v>129</v>
      </c>
      <c r="P20" s="51" t="s">
        <v>129</v>
      </c>
      <c r="Q20" s="51" t="s">
        <v>129</v>
      </c>
      <c r="R20" s="51" t="s">
        <v>129</v>
      </c>
      <c r="S20" s="51">
        <v>0</v>
      </c>
      <c r="T20" s="51" t="s">
        <v>129</v>
      </c>
      <c r="U20" s="51">
        <v>0</v>
      </c>
      <c r="V20" s="51" t="s">
        <v>129</v>
      </c>
      <c r="W20" s="51">
        <v>0</v>
      </c>
      <c r="X20" s="51" t="s">
        <v>129</v>
      </c>
      <c r="Y20" s="51">
        <v>0</v>
      </c>
      <c r="Z20" s="51" t="s">
        <v>129</v>
      </c>
      <c r="AA20" s="51" t="s">
        <v>129</v>
      </c>
      <c r="AB20" s="51" t="s">
        <v>129</v>
      </c>
      <c r="AC20" s="51" t="s">
        <v>129</v>
      </c>
      <c r="AD20" s="51" t="s">
        <v>129</v>
      </c>
      <c r="AE20" s="51" t="s">
        <v>129</v>
      </c>
      <c r="AF20" s="51" t="s">
        <v>129</v>
      </c>
      <c r="AG20" s="51" t="s">
        <v>129</v>
      </c>
      <c r="AH20" s="51" t="s">
        <v>129</v>
      </c>
      <c r="AI20" s="51">
        <v>0</v>
      </c>
      <c r="AJ20" s="51" t="s">
        <v>129</v>
      </c>
      <c r="AK20" s="51">
        <v>0</v>
      </c>
      <c r="AL20" s="51" t="s">
        <v>129</v>
      </c>
      <c r="AM20" s="51">
        <v>0</v>
      </c>
      <c r="AN20" s="51" t="s">
        <v>129</v>
      </c>
      <c r="AO20" s="51">
        <v>0</v>
      </c>
      <c r="AP20" s="51" t="s">
        <v>129</v>
      </c>
      <c r="AQ20" s="51" t="s">
        <v>129</v>
      </c>
      <c r="AR20" s="51" t="s">
        <v>129</v>
      </c>
      <c r="AS20" s="51" t="s">
        <v>129</v>
      </c>
      <c r="AT20" s="51" t="s">
        <v>129</v>
      </c>
      <c r="AU20" s="51" t="s">
        <v>129</v>
      </c>
      <c r="AV20" s="51" t="s">
        <v>129</v>
      </c>
      <c r="AW20" s="51" t="s">
        <v>129</v>
      </c>
      <c r="AX20" s="51" t="s">
        <v>129</v>
      </c>
      <c r="AY20" s="51">
        <v>0</v>
      </c>
      <c r="AZ20" s="51" t="s">
        <v>129</v>
      </c>
      <c r="BA20" s="51">
        <v>1</v>
      </c>
      <c r="BB20" s="51" t="s">
        <v>129</v>
      </c>
      <c r="BC20" s="51">
        <v>0</v>
      </c>
      <c r="BD20" s="51" t="s">
        <v>129</v>
      </c>
      <c r="BE20" s="51">
        <v>0</v>
      </c>
      <c r="BF20" s="51" t="s">
        <v>129</v>
      </c>
      <c r="BG20" s="51" t="s">
        <v>129</v>
      </c>
      <c r="BH20" s="51" t="s">
        <v>129</v>
      </c>
      <c r="BI20" s="51" t="s">
        <v>129</v>
      </c>
      <c r="BJ20" s="51" t="s">
        <v>129</v>
      </c>
      <c r="BK20" s="51" t="s">
        <v>129</v>
      </c>
      <c r="BL20" s="51" t="s">
        <v>129</v>
      </c>
      <c r="BM20" s="51" t="s">
        <v>129</v>
      </c>
    </row>
    <row r="21" spans="1:65" ht="15" customHeight="1" x14ac:dyDescent="0.2">
      <c r="A21" s="51" t="s">
        <v>139</v>
      </c>
      <c r="B21" s="51" t="s">
        <v>129</v>
      </c>
      <c r="C21" s="51">
        <v>0</v>
      </c>
      <c r="D21" s="51" t="s">
        <v>129</v>
      </c>
      <c r="E21" s="51">
        <v>0</v>
      </c>
      <c r="F21" s="51" t="s">
        <v>129</v>
      </c>
      <c r="G21" s="51">
        <v>0</v>
      </c>
      <c r="H21" s="51" t="s">
        <v>129</v>
      </c>
      <c r="I21" s="51">
        <v>0</v>
      </c>
      <c r="J21" s="51" t="s">
        <v>129</v>
      </c>
      <c r="K21" s="51" t="s">
        <v>129</v>
      </c>
      <c r="L21" s="51" t="s">
        <v>129</v>
      </c>
      <c r="M21" s="51" t="s">
        <v>129</v>
      </c>
      <c r="N21" s="51" t="s">
        <v>129</v>
      </c>
      <c r="O21" s="51" t="s">
        <v>129</v>
      </c>
      <c r="P21" s="51" t="s">
        <v>129</v>
      </c>
      <c r="Q21" s="51" t="s">
        <v>129</v>
      </c>
      <c r="R21" s="51" t="s">
        <v>129</v>
      </c>
      <c r="S21" s="51">
        <v>0</v>
      </c>
      <c r="T21" s="51" t="s">
        <v>129</v>
      </c>
      <c r="U21" s="51">
        <v>0</v>
      </c>
      <c r="V21" s="51" t="s">
        <v>129</v>
      </c>
      <c r="W21" s="51">
        <v>0</v>
      </c>
      <c r="X21" s="51" t="s">
        <v>129</v>
      </c>
      <c r="Y21" s="51">
        <v>0</v>
      </c>
      <c r="Z21" s="51" t="s">
        <v>129</v>
      </c>
      <c r="AA21" s="51" t="s">
        <v>129</v>
      </c>
      <c r="AB21" s="51" t="s">
        <v>129</v>
      </c>
      <c r="AC21" s="51" t="s">
        <v>129</v>
      </c>
      <c r="AD21" s="51" t="s">
        <v>129</v>
      </c>
      <c r="AE21" s="51" t="s">
        <v>129</v>
      </c>
      <c r="AF21" s="51" t="s">
        <v>129</v>
      </c>
      <c r="AG21" s="51" t="s">
        <v>129</v>
      </c>
      <c r="AH21" s="51" t="s">
        <v>129</v>
      </c>
      <c r="AI21" s="51">
        <v>0</v>
      </c>
      <c r="AJ21" s="51" t="s">
        <v>129</v>
      </c>
      <c r="AK21" s="51">
        <v>0</v>
      </c>
      <c r="AL21" s="51" t="s">
        <v>129</v>
      </c>
      <c r="AM21" s="51">
        <v>0</v>
      </c>
      <c r="AN21" s="51" t="s">
        <v>129</v>
      </c>
      <c r="AO21" s="51">
        <v>0</v>
      </c>
      <c r="AP21" s="51" t="s">
        <v>129</v>
      </c>
      <c r="AQ21" s="51" t="s">
        <v>129</v>
      </c>
      <c r="AR21" s="51" t="s">
        <v>129</v>
      </c>
      <c r="AS21" s="51" t="s">
        <v>129</v>
      </c>
      <c r="AT21" s="51" t="s">
        <v>129</v>
      </c>
      <c r="AU21" s="51" t="s">
        <v>129</v>
      </c>
      <c r="AV21" s="51" t="s">
        <v>129</v>
      </c>
      <c r="AW21" s="51" t="s">
        <v>129</v>
      </c>
      <c r="AX21" s="51" t="s">
        <v>129</v>
      </c>
      <c r="AY21" s="51">
        <v>0</v>
      </c>
      <c r="AZ21" s="51" t="s">
        <v>129</v>
      </c>
      <c r="BA21" s="51">
        <v>0</v>
      </c>
      <c r="BB21" s="51" t="s">
        <v>129</v>
      </c>
      <c r="BC21" s="51">
        <v>0</v>
      </c>
      <c r="BD21" s="51" t="s">
        <v>129</v>
      </c>
      <c r="BE21" s="51">
        <v>0</v>
      </c>
      <c r="BF21" s="51" t="s">
        <v>129</v>
      </c>
      <c r="BG21" s="51" t="s">
        <v>129</v>
      </c>
      <c r="BH21" s="51" t="s">
        <v>129</v>
      </c>
      <c r="BI21" s="51" t="s">
        <v>129</v>
      </c>
      <c r="BJ21" s="51" t="s">
        <v>129</v>
      </c>
      <c r="BK21" s="51" t="s">
        <v>129</v>
      </c>
      <c r="BL21" s="51" t="s">
        <v>129</v>
      </c>
      <c r="BM21" s="51" t="s">
        <v>129</v>
      </c>
    </row>
    <row r="22" spans="1:65" ht="15" customHeight="1" x14ac:dyDescent="0.2">
      <c r="A22" s="51" t="s">
        <v>138</v>
      </c>
      <c r="B22" s="51" t="s">
        <v>129</v>
      </c>
      <c r="C22" s="51">
        <v>0</v>
      </c>
      <c r="D22" s="51" t="s">
        <v>129</v>
      </c>
      <c r="E22" s="51">
        <v>0</v>
      </c>
      <c r="F22" s="51" t="s">
        <v>129</v>
      </c>
      <c r="G22" s="51">
        <v>0</v>
      </c>
      <c r="H22" s="51" t="s">
        <v>129</v>
      </c>
      <c r="I22" s="51">
        <v>0</v>
      </c>
      <c r="J22" s="51" t="s">
        <v>129</v>
      </c>
      <c r="K22" s="51" t="s">
        <v>129</v>
      </c>
      <c r="L22" s="51" t="s">
        <v>129</v>
      </c>
      <c r="M22" s="51" t="s">
        <v>129</v>
      </c>
      <c r="N22" s="51" t="s">
        <v>129</v>
      </c>
      <c r="O22" s="51" t="s">
        <v>129</v>
      </c>
      <c r="P22" s="51" t="s">
        <v>129</v>
      </c>
      <c r="Q22" s="51" t="s">
        <v>129</v>
      </c>
      <c r="R22" s="51" t="s">
        <v>129</v>
      </c>
      <c r="S22" s="51">
        <v>0</v>
      </c>
      <c r="T22" s="51" t="s">
        <v>129</v>
      </c>
      <c r="U22" s="51">
        <v>0</v>
      </c>
      <c r="V22" s="51" t="s">
        <v>129</v>
      </c>
      <c r="W22" s="51">
        <v>0</v>
      </c>
      <c r="X22" s="51" t="s">
        <v>129</v>
      </c>
      <c r="Y22" s="51">
        <v>0</v>
      </c>
      <c r="Z22" s="51" t="s">
        <v>129</v>
      </c>
      <c r="AA22" s="51" t="s">
        <v>129</v>
      </c>
      <c r="AB22" s="51" t="s">
        <v>129</v>
      </c>
      <c r="AC22" s="51" t="s">
        <v>129</v>
      </c>
      <c r="AD22" s="51" t="s">
        <v>129</v>
      </c>
      <c r="AE22" s="51" t="s">
        <v>129</v>
      </c>
      <c r="AF22" s="51" t="s">
        <v>129</v>
      </c>
      <c r="AG22" s="51" t="s">
        <v>129</v>
      </c>
      <c r="AH22" s="51" t="s">
        <v>129</v>
      </c>
      <c r="AI22" s="51">
        <v>0</v>
      </c>
      <c r="AJ22" s="51" t="s">
        <v>129</v>
      </c>
      <c r="AK22" s="51">
        <v>0</v>
      </c>
      <c r="AL22" s="51" t="s">
        <v>129</v>
      </c>
      <c r="AM22" s="51">
        <v>0</v>
      </c>
      <c r="AN22" s="51" t="s">
        <v>129</v>
      </c>
      <c r="AO22" s="51">
        <v>0</v>
      </c>
      <c r="AP22" s="51" t="s">
        <v>129</v>
      </c>
      <c r="AQ22" s="51" t="s">
        <v>129</v>
      </c>
      <c r="AR22" s="51" t="s">
        <v>129</v>
      </c>
      <c r="AS22" s="51" t="s">
        <v>129</v>
      </c>
      <c r="AT22" s="51" t="s">
        <v>129</v>
      </c>
      <c r="AU22" s="51" t="s">
        <v>129</v>
      </c>
      <c r="AV22" s="51" t="s">
        <v>129</v>
      </c>
      <c r="AW22" s="51" t="s">
        <v>129</v>
      </c>
      <c r="AX22" s="51" t="s">
        <v>129</v>
      </c>
      <c r="AY22" s="51">
        <v>0</v>
      </c>
      <c r="AZ22" s="51" t="s">
        <v>129</v>
      </c>
      <c r="BA22" s="51">
        <v>0</v>
      </c>
      <c r="BB22" s="51" t="s">
        <v>129</v>
      </c>
      <c r="BC22" s="51">
        <v>0</v>
      </c>
      <c r="BD22" s="51" t="s">
        <v>129</v>
      </c>
      <c r="BE22" s="51">
        <v>0</v>
      </c>
      <c r="BF22" s="51" t="s">
        <v>129</v>
      </c>
      <c r="BG22" s="51" t="s">
        <v>129</v>
      </c>
      <c r="BH22" s="51" t="s">
        <v>129</v>
      </c>
      <c r="BI22" s="51" t="s">
        <v>129</v>
      </c>
      <c r="BJ22" s="51" t="s">
        <v>129</v>
      </c>
      <c r="BK22" s="51" t="s">
        <v>129</v>
      </c>
      <c r="BL22" s="51" t="s">
        <v>129</v>
      </c>
      <c r="BM22" s="51" t="s">
        <v>129</v>
      </c>
    </row>
    <row r="23" spans="1:65" ht="15" customHeight="1" x14ac:dyDescent="0.2">
      <c r="A23" s="52">
        <v>0.54166666666666663</v>
      </c>
      <c r="C23" s="51">
        <v>0</v>
      </c>
      <c r="E23" s="51">
        <v>0</v>
      </c>
      <c r="G23" s="51">
        <v>0</v>
      </c>
      <c r="I23" s="51">
        <v>0</v>
      </c>
      <c r="S23" s="51">
        <v>0</v>
      </c>
      <c r="U23" s="51">
        <v>0</v>
      </c>
      <c r="W23" s="51">
        <v>0</v>
      </c>
      <c r="Y23" s="51">
        <v>0</v>
      </c>
      <c r="AI23" s="51">
        <v>0</v>
      </c>
      <c r="AK23" s="51">
        <v>0</v>
      </c>
      <c r="AM23" s="51">
        <v>0</v>
      </c>
      <c r="AO23" s="51">
        <v>0</v>
      </c>
      <c r="AY23" s="51">
        <v>0</v>
      </c>
      <c r="BA23" s="51">
        <v>0</v>
      </c>
      <c r="BC23" s="51">
        <v>0</v>
      </c>
      <c r="BE23" s="51">
        <v>0</v>
      </c>
    </row>
    <row r="24" spans="1:65" ht="15" customHeight="1" x14ac:dyDescent="0.2">
      <c r="A24" s="52">
        <v>0.55208333333333337</v>
      </c>
      <c r="C24" s="51">
        <v>0</v>
      </c>
      <c r="E24" s="51">
        <v>0</v>
      </c>
      <c r="G24" s="51">
        <v>0</v>
      </c>
      <c r="I24" s="51">
        <v>0</v>
      </c>
      <c r="S24" s="51">
        <v>0</v>
      </c>
      <c r="U24" s="51">
        <v>0</v>
      </c>
      <c r="W24" s="51">
        <v>0</v>
      </c>
      <c r="Y24" s="51">
        <v>0</v>
      </c>
      <c r="AI24" s="51">
        <v>0</v>
      </c>
      <c r="AK24" s="51">
        <v>0</v>
      </c>
      <c r="AM24" s="51">
        <v>0</v>
      </c>
      <c r="AO24" s="51">
        <v>0</v>
      </c>
      <c r="AY24" s="51">
        <v>0</v>
      </c>
      <c r="BA24" s="51">
        <v>0</v>
      </c>
      <c r="BC24" s="51">
        <v>0</v>
      </c>
      <c r="BE24" s="51">
        <v>0</v>
      </c>
    </row>
    <row r="25" spans="1:65" ht="15" customHeight="1" x14ac:dyDescent="0.2">
      <c r="A25" s="52">
        <v>0.5625</v>
      </c>
      <c r="C25" s="51">
        <v>0</v>
      </c>
      <c r="E25" s="51">
        <v>0</v>
      </c>
      <c r="G25" s="51">
        <v>0</v>
      </c>
      <c r="I25" s="51">
        <v>0</v>
      </c>
      <c r="S25" s="51">
        <v>0</v>
      </c>
      <c r="U25" s="51">
        <v>0</v>
      </c>
      <c r="W25" s="51">
        <v>0</v>
      </c>
      <c r="Y25" s="51">
        <v>0</v>
      </c>
      <c r="AI25" s="51">
        <v>0</v>
      </c>
      <c r="AK25" s="51">
        <v>0</v>
      </c>
      <c r="AM25" s="51">
        <v>0</v>
      </c>
      <c r="AO25" s="51">
        <v>0</v>
      </c>
      <c r="AY25" s="51">
        <v>0</v>
      </c>
      <c r="BA25" s="51">
        <v>0</v>
      </c>
      <c r="BC25" s="51">
        <v>0</v>
      </c>
      <c r="BE25" s="51">
        <v>0</v>
      </c>
    </row>
    <row r="26" spans="1:65" ht="15" customHeight="1" x14ac:dyDescent="0.2">
      <c r="A26" s="52">
        <v>0.57291666666666663</v>
      </c>
      <c r="C26" s="51">
        <v>0</v>
      </c>
      <c r="E26" s="51">
        <v>0</v>
      </c>
      <c r="G26" s="51">
        <v>0</v>
      </c>
      <c r="I26" s="51">
        <v>0</v>
      </c>
      <c r="S26" s="51">
        <v>0</v>
      </c>
      <c r="U26" s="51">
        <v>0</v>
      </c>
      <c r="W26" s="51">
        <v>0</v>
      </c>
      <c r="Y26" s="51">
        <v>0</v>
      </c>
      <c r="AI26" s="51">
        <v>0</v>
      </c>
      <c r="AK26" s="51">
        <v>0</v>
      </c>
      <c r="AM26" s="51">
        <v>0</v>
      </c>
      <c r="AO26" s="51">
        <v>0</v>
      </c>
      <c r="AY26" s="51">
        <v>0</v>
      </c>
      <c r="BA26" s="51">
        <v>0</v>
      </c>
      <c r="BC26" s="51">
        <v>0</v>
      </c>
      <c r="BE26" s="51">
        <v>0</v>
      </c>
    </row>
    <row r="27" spans="1:65" ht="15" customHeight="1" x14ac:dyDescent="0.2">
      <c r="A27" s="51" t="s">
        <v>137</v>
      </c>
      <c r="B27" s="51" t="s">
        <v>129</v>
      </c>
      <c r="C27" s="51">
        <v>0</v>
      </c>
      <c r="D27" s="51" t="s">
        <v>129</v>
      </c>
      <c r="E27" s="51">
        <v>0</v>
      </c>
      <c r="F27" s="51" t="s">
        <v>129</v>
      </c>
      <c r="G27" s="51">
        <v>0</v>
      </c>
      <c r="H27" s="51" t="s">
        <v>129</v>
      </c>
      <c r="I27" s="51">
        <v>0</v>
      </c>
      <c r="J27" s="51" t="s">
        <v>129</v>
      </c>
      <c r="K27" s="51" t="s">
        <v>129</v>
      </c>
      <c r="L27" s="51" t="s">
        <v>129</v>
      </c>
      <c r="M27" s="51" t="s">
        <v>129</v>
      </c>
      <c r="N27" s="51" t="s">
        <v>129</v>
      </c>
      <c r="O27" s="51" t="s">
        <v>129</v>
      </c>
      <c r="P27" s="51" t="s">
        <v>129</v>
      </c>
      <c r="Q27" s="51" t="s">
        <v>129</v>
      </c>
      <c r="R27" s="51" t="s">
        <v>129</v>
      </c>
      <c r="S27" s="51">
        <v>0</v>
      </c>
      <c r="T27" s="51" t="s">
        <v>129</v>
      </c>
      <c r="U27" s="51">
        <v>0</v>
      </c>
      <c r="V27" s="51" t="s">
        <v>129</v>
      </c>
      <c r="W27" s="51">
        <v>0</v>
      </c>
      <c r="X27" s="51" t="s">
        <v>129</v>
      </c>
      <c r="Y27" s="51">
        <v>0</v>
      </c>
      <c r="Z27" s="51" t="s">
        <v>129</v>
      </c>
      <c r="AA27" s="51" t="s">
        <v>129</v>
      </c>
      <c r="AB27" s="51" t="s">
        <v>129</v>
      </c>
      <c r="AC27" s="51" t="s">
        <v>129</v>
      </c>
      <c r="AD27" s="51" t="s">
        <v>129</v>
      </c>
      <c r="AE27" s="51" t="s">
        <v>129</v>
      </c>
      <c r="AF27" s="51" t="s">
        <v>129</v>
      </c>
      <c r="AG27" s="51" t="s">
        <v>129</v>
      </c>
      <c r="AH27" s="51" t="s">
        <v>129</v>
      </c>
      <c r="AI27" s="51">
        <v>0</v>
      </c>
      <c r="AJ27" s="51" t="s">
        <v>129</v>
      </c>
      <c r="AK27" s="51">
        <v>0</v>
      </c>
      <c r="AL27" s="51" t="s">
        <v>129</v>
      </c>
      <c r="AM27" s="51">
        <v>0</v>
      </c>
      <c r="AN27" s="51" t="s">
        <v>129</v>
      </c>
      <c r="AO27" s="51">
        <v>0</v>
      </c>
      <c r="AP27" s="51" t="s">
        <v>129</v>
      </c>
      <c r="AQ27" s="51" t="s">
        <v>129</v>
      </c>
      <c r="AR27" s="51" t="s">
        <v>129</v>
      </c>
      <c r="AS27" s="51" t="s">
        <v>129</v>
      </c>
      <c r="AT27" s="51" t="s">
        <v>129</v>
      </c>
      <c r="AU27" s="51" t="s">
        <v>129</v>
      </c>
      <c r="AV27" s="51" t="s">
        <v>129</v>
      </c>
      <c r="AW27" s="51" t="s">
        <v>129</v>
      </c>
      <c r="AX27" s="51" t="s">
        <v>129</v>
      </c>
      <c r="AY27" s="51">
        <v>0</v>
      </c>
      <c r="AZ27" s="51" t="s">
        <v>129</v>
      </c>
      <c r="BA27" s="51">
        <v>0</v>
      </c>
      <c r="BB27" s="51" t="s">
        <v>129</v>
      </c>
      <c r="BC27" s="51">
        <v>0</v>
      </c>
      <c r="BD27" s="51" t="s">
        <v>129</v>
      </c>
      <c r="BE27" s="51">
        <v>0</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0</v>
      </c>
      <c r="D28" s="51" t="s">
        <v>129</v>
      </c>
      <c r="E28" s="51">
        <v>0</v>
      </c>
      <c r="F28" s="51" t="s">
        <v>129</v>
      </c>
      <c r="G28" s="51">
        <v>0</v>
      </c>
      <c r="H28" s="51" t="s">
        <v>129</v>
      </c>
      <c r="I28" s="51">
        <v>0</v>
      </c>
      <c r="J28" s="51" t="s">
        <v>129</v>
      </c>
      <c r="K28" s="51" t="s">
        <v>129</v>
      </c>
      <c r="L28" s="51" t="s">
        <v>129</v>
      </c>
      <c r="M28" s="51" t="s">
        <v>129</v>
      </c>
      <c r="N28" s="51" t="s">
        <v>129</v>
      </c>
      <c r="O28" s="51" t="s">
        <v>129</v>
      </c>
      <c r="P28" s="51" t="s">
        <v>129</v>
      </c>
      <c r="Q28" s="51" t="s">
        <v>129</v>
      </c>
      <c r="R28" s="51" t="s">
        <v>129</v>
      </c>
      <c r="S28" s="51">
        <v>0</v>
      </c>
      <c r="T28" s="51" t="s">
        <v>129</v>
      </c>
      <c r="U28" s="51">
        <v>0</v>
      </c>
      <c r="V28" s="51" t="s">
        <v>129</v>
      </c>
      <c r="W28" s="51">
        <v>0</v>
      </c>
      <c r="X28" s="51" t="s">
        <v>129</v>
      </c>
      <c r="Y28" s="51">
        <v>0</v>
      </c>
      <c r="Z28" s="51" t="s">
        <v>129</v>
      </c>
      <c r="AA28" s="51" t="s">
        <v>129</v>
      </c>
      <c r="AB28" s="51" t="s">
        <v>129</v>
      </c>
      <c r="AC28" s="51" t="s">
        <v>129</v>
      </c>
      <c r="AD28" s="51" t="s">
        <v>129</v>
      </c>
      <c r="AE28" s="51" t="s">
        <v>129</v>
      </c>
      <c r="AF28" s="51" t="s">
        <v>129</v>
      </c>
      <c r="AG28" s="51" t="s">
        <v>129</v>
      </c>
      <c r="AH28" s="51" t="s">
        <v>129</v>
      </c>
      <c r="AI28" s="51">
        <v>0</v>
      </c>
      <c r="AJ28" s="51" t="s">
        <v>129</v>
      </c>
      <c r="AK28" s="51">
        <v>0</v>
      </c>
      <c r="AL28" s="51" t="s">
        <v>129</v>
      </c>
      <c r="AM28" s="51">
        <v>0</v>
      </c>
      <c r="AN28" s="51" t="s">
        <v>129</v>
      </c>
      <c r="AO28" s="51">
        <v>0</v>
      </c>
      <c r="AP28" s="51" t="s">
        <v>129</v>
      </c>
      <c r="AQ28" s="51" t="s">
        <v>129</v>
      </c>
      <c r="AR28" s="51" t="s">
        <v>129</v>
      </c>
      <c r="AS28" s="51" t="s">
        <v>129</v>
      </c>
      <c r="AT28" s="51" t="s">
        <v>129</v>
      </c>
      <c r="AU28" s="51" t="s">
        <v>129</v>
      </c>
      <c r="AV28" s="51" t="s">
        <v>129</v>
      </c>
      <c r="AW28" s="51" t="s">
        <v>129</v>
      </c>
      <c r="AX28" s="51" t="s">
        <v>129</v>
      </c>
      <c r="AY28" s="51">
        <v>0</v>
      </c>
      <c r="AZ28" s="51" t="s">
        <v>129</v>
      </c>
      <c r="BA28" s="51">
        <v>0</v>
      </c>
      <c r="BB28" s="51" t="s">
        <v>129</v>
      </c>
      <c r="BC28" s="51">
        <v>0</v>
      </c>
      <c r="BD28" s="51" t="s">
        <v>129</v>
      </c>
      <c r="BE28" s="51">
        <v>0</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0</v>
      </c>
      <c r="D29" s="51" t="s">
        <v>129</v>
      </c>
      <c r="E29" s="51">
        <v>0</v>
      </c>
      <c r="F29" s="51" t="s">
        <v>129</v>
      </c>
      <c r="G29" s="51">
        <v>0</v>
      </c>
      <c r="H29" s="51" t="s">
        <v>129</v>
      </c>
      <c r="I29" s="51">
        <v>0</v>
      </c>
      <c r="J29" s="51" t="s">
        <v>129</v>
      </c>
      <c r="K29" s="51" t="s">
        <v>129</v>
      </c>
      <c r="L29" s="51" t="s">
        <v>129</v>
      </c>
      <c r="M29" s="51" t="s">
        <v>129</v>
      </c>
      <c r="N29" s="51" t="s">
        <v>129</v>
      </c>
      <c r="O29" s="51" t="s">
        <v>129</v>
      </c>
      <c r="P29" s="51" t="s">
        <v>129</v>
      </c>
      <c r="Q29" s="51" t="s">
        <v>129</v>
      </c>
      <c r="R29" s="51" t="s">
        <v>129</v>
      </c>
      <c r="S29" s="51">
        <v>0</v>
      </c>
      <c r="T29" s="51" t="s">
        <v>129</v>
      </c>
      <c r="U29" s="51">
        <v>0</v>
      </c>
      <c r="V29" s="51" t="s">
        <v>129</v>
      </c>
      <c r="W29" s="51">
        <v>0</v>
      </c>
      <c r="X29" s="51" t="s">
        <v>129</v>
      </c>
      <c r="Y29" s="51">
        <v>0</v>
      </c>
      <c r="Z29" s="51" t="s">
        <v>129</v>
      </c>
      <c r="AA29" s="51" t="s">
        <v>129</v>
      </c>
      <c r="AB29" s="51" t="s">
        <v>129</v>
      </c>
      <c r="AC29" s="51" t="s">
        <v>129</v>
      </c>
      <c r="AD29" s="51" t="s">
        <v>129</v>
      </c>
      <c r="AE29" s="51" t="s">
        <v>129</v>
      </c>
      <c r="AF29" s="51" t="s">
        <v>129</v>
      </c>
      <c r="AG29" s="51" t="s">
        <v>129</v>
      </c>
      <c r="AH29" s="51" t="s">
        <v>129</v>
      </c>
      <c r="AI29" s="51">
        <v>0</v>
      </c>
      <c r="AJ29" s="51" t="s">
        <v>129</v>
      </c>
      <c r="AK29" s="51">
        <v>0</v>
      </c>
      <c r="AL29" s="51" t="s">
        <v>129</v>
      </c>
      <c r="AM29" s="51">
        <v>0</v>
      </c>
      <c r="AN29" s="51" t="s">
        <v>129</v>
      </c>
      <c r="AO29" s="51">
        <v>0</v>
      </c>
      <c r="AP29" s="51" t="s">
        <v>129</v>
      </c>
      <c r="AQ29" s="51" t="s">
        <v>129</v>
      </c>
      <c r="AR29" s="51" t="s">
        <v>129</v>
      </c>
      <c r="AS29" s="51" t="s">
        <v>129</v>
      </c>
      <c r="AT29" s="51" t="s">
        <v>129</v>
      </c>
      <c r="AU29" s="51" t="s">
        <v>129</v>
      </c>
      <c r="AV29" s="51" t="s">
        <v>129</v>
      </c>
      <c r="AW29" s="51" t="s">
        <v>129</v>
      </c>
      <c r="AX29" s="51" t="s">
        <v>129</v>
      </c>
      <c r="AY29" s="51">
        <v>0</v>
      </c>
      <c r="AZ29" s="51" t="s">
        <v>129</v>
      </c>
      <c r="BA29" s="51">
        <v>0</v>
      </c>
      <c r="BB29" s="51" t="s">
        <v>129</v>
      </c>
      <c r="BC29" s="51">
        <v>0</v>
      </c>
      <c r="BD29" s="51" t="s">
        <v>129</v>
      </c>
      <c r="BE29" s="51">
        <v>0</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0</v>
      </c>
      <c r="D30" s="51" t="s">
        <v>129</v>
      </c>
      <c r="E30" s="51">
        <v>0</v>
      </c>
      <c r="F30" s="51" t="s">
        <v>129</v>
      </c>
      <c r="G30" s="51">
        <v>0</v>
      </c>
      <c r="H30" s="51" t="s">
        <v>129</v>
      </c>
      <c r="I30" s="51">
        <v>0</v>
      </c>
      <c r="J30" s="51" t="s">
        <v>129</v>
      </c>
      <c r="K30" s="51" t="s">
        <v>129</v>
      </c>
      <c r="L30" s="51" t="s">
        <v>129</v>
      </c>
      <c r="M30" s="51" t="s">
        <v>129</v>
      </c>
      <c r="N30" s="51" t="s">
        <v>129</v>
      </c>
      <c r="O30" s="51" t="s">
        <v>129</v>
      </c>
      <c r="P30" s="51" t="s">
        <v>129</v>
      </c>
      <c r="Q30" s="51" t="s">
        <v>129</v>
      </c>
      <c r="R30" s="51" t="s">
        <v>129</v>
      </c>
      <c r="S30" s="51">
        <v>0</v>
      </c>
      <c r="T30" s="51" t="s">
        <v>129</v>
      </c>
      <c r="U30" s="51">
        <v>0</v>
      </c>
      <c r="V30" s="51" t="s">
        <v>129</v>
      </c>
      <c r="W30" s="51">
        <v>0</v>
      </c>
      <c r="X30" s="51" t="s">
        <v>129</v>
      </c>
      <c r="Y30" s="51">
        <v>0</v>
      </c>
      <c r="Z30" s="51" t="s">
        <v>129</v>
      </c>
      <c r="AA30" s="51" t="s">
        <v>129</v>
      </c>
      <c r="AB30" s="51" t="s">
        <v>129</v>
      </c>
      <c r="AC30" s="51" t="s">
        <v>129</v>
      </c>
      <c r="AD30" s="51" t="s">
        <v>129</v>
      </c>
      <c r="AE30" s="51" t="s">
        <v>129</v>
      </c>
      <c r="AF30" s="51" t="s">
        <v>129</v>
      </c>
      <c r="AG30" s="51" t="s">
        <v>129</v>
      </c>
      <c r="AH30" s="51" t="s">
        <v>129</v>
      </c>
      <c r="AI30" s="51">
        <v>0</v>
      </c>
      <c r="AJ30" s="51" t="s">
        <v>129</v>
      </c>
      <c r="AK30" s="51">
        <v>0</v>
      </c>
      <c r="AL30" s="51" t="s">
        <v>129</v>
      </c>
      <c r="AM30" s="51">
        <v>0</v>
      </c>
      <c r="AN30" s="51" t="s">
        <v>129</v>
      </c>
      <c r="AO30" s="51">
        <v>0</v>
      </c>
      <c r="AP30" s="51" t="s">
        <v>129</v>
      </c>
      <c r="AQ30" s="51" t="s">
        <v>129</v>
      </c>
      <c r="AR30" s="51" t="s">
        <v>129</v>
      </c>
      <c r="AS30" s="51" t="s">
        <v>129</v>
      </c>
      <c r="AT30" s="51" t="s">
        <v>129</v>
      </c>
      <c r="AU30" s="51" t="s">
        <v>129</v>
      </c>
      <c r="AV30" s="51" t="s">
        <v>129</v>
      </c>
      <c r="AW30" s="51" t="s">
        <v>129</v>
      </c>
      <c r="AX30" s="51" t="s">
        <v>129</v>
      </c>
      <c r="AY30" s="51">
        <v>0</v>
      </c>
      <c r="AZ30" s="51" t="s">
        <v>129</v>
      </c>
      <c r="BA30" s="51">
        <v>0</v>
      </c>
      <c r="BB30" s="51" t="s">
        <v>129</v>
      </c>
      <c r="BC30" s="51">
        <v>0</v>
      </c>
      <c r="BD30" s="51" t="s">
        <v>129</v>
      </c>
      <c r="BE30" s="51">
        <v>0</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0</v>
      </c>
      <c r="D31" s="51" t="s">
        <v>129</v>
      </c>
      <c r="E31" s="51">
        <v>0</v>
      </c>
      <c r="F31" s="51" t="s">
        <v>129</v>
      </c>
      <c r="G31" s="51">
        <v>0</v>
      </c>
      <c r="H31" s="51" t="s">
        <v>129</v>
      </c>
      <c r="I31" s="51">
        <v>0</v>
      </c>
      <c r="J31" s="51" t="s">
        <v>129</v>
      </c>
      <c r="K31" s="51" t="s">
        <v>129</v>
      </c>
      <c r="L31" s="51" t="s">
        <v>129</v>
      </c>
      <c r="M31" s="51" t="s">
        <v>129</v>
      </c>
      <c r="N31" s="51" t="s">
        <v>129</v>
      </c>
      <c r="O31" s="51" t="s">
        <v>129</v>
      </c>
      <c r="P31" s="51" t="s">
        <v>129</v>
      </c>
      <c r="Q31" s="51" t="s">
        <v>129</v>
      </c>
      <c r="R31" s="51" t="s">
        <v>129</v>
      </c>
      <c r="S31" s="51">
        <v>0</v>
      </c>
      <c r="T31" s="51" t="s">
        <v>129</v>
      </c>
      <c r="U31" s="51">
        <v>0</v>
      </c>
      <c r="V31" s="51" t="s">
        <v>129</v>
      </c>
      <c r="W31" s="51">
        <v>0</v>
      </c>
      <c r="X31" s="51" t="s">
        <v>129</v>
      </c>
      <c r="Y31" s="51">
        <v>0</v>
      </c>
      <c r="Z31" s="51" t="s">
        <v>129</v>
      </c>
      <c r="AA31" s="51" t="s">
        <v>129</v>
      </c>
      <c r="AB31" s="51" t="s">
        <v>129</v>
      </c>
      <c r="AC31" s="51" t="s">
        <v>129</v>
      </c>
      <c r="AD31" s="51" t="s">
        <v>129</v>
      </c>
      <c r="AE31" s="51" t="s">
        <v>129</v>
      </c>
      <c r="AF31" s="51" t="s">
        <v>129</v>
      </c>
      <c r="AG31" s="51" t="s">
        <v>129</v>
      </c>
      <c r="AH31" s="51" t="s">
        <v>129</v>
      </c>
      <c r="AI31" s="51">
        <v>0</v>
      </c>
      <c r="AJ31" s="51" t="s">
        <v>129</v>
      </c>
      <c r="AK31" s="51">
        <v>0</v>
      </c>
      <c r="AL31" s="51" t="s">
        <v>129</v>
      </c>
      <c r="AM31" s="51">
        <v>0</v>
      </c>
      <c r="AN31" s="51" t="s">
        <v>129</v>
      </c>
      <c r="AO31" s="51">
        <v>0</v>
      </c>
      <c r="AP31" s="51" t="s">
        <v>129</v>
      </c>
      <c r="AQ31" s="51" t="s">
        <v>129</v>
      </c>
      <c r="AR31" s="51" t="s">
        <v>129</v>
      </c>
      <c r="AS31" s="51" t="s">
        <v>129</v>
      </c>
      <c r="AT31" s="51" t="s">
        <v>129</v>
      </c>
      <c r="AU31" s="51" t="s">
        <v>129</v>
      </c>
      <c r="AV31" s="51" t="s">
        <v>129</v>
      </c>
      <c r="AW31" s="51" t="s">
        <v>129</v>
      </c>
      <c r="AX31" s="51" t="s">
        <v>129</v>
      </c>
      <c r="AY31" s="51">
        <v>0</v>
      </c>
      <c r="AZ31" s="51" t="s">
        <v>129</v>
      </c>
      <c r="BA31" s="51">
        <v>0</v>
      </c>
      <c r="BB31" s="51" t="s">
        <v>129</v>
      </c>
      <c r="BC31" s="51">
        <v>0</v>
      </c>
      <c r="BD31" s="51" t="s">
        <v>129</v>
      </c>
      <c r="BE31" s="51">
        <v>0</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0</v>
      </c>
      <c r="D32" s="51" t="s">
        <v>129</v>
      </c>
      <c r="E32" s="51">
        <v>0</v>
      </c>
      <c r="F32" s="51" t="s">
        <v>129</v>
      </c>
      <c r="G32" s="51">
        <v>0</v>
      </c>
      <c r="H32" s="51" t="s">
        <v>129</v>
      </c>
      <c r="I32" s="51">
        <v>0</v>
      </c>
      <c r="J32" s="51" t="s">
        <v>129</v>
      </c>
      <c r="K32" s="51" t="s">
        <v>129</v>
      </c>
      <c r="L32" s="51" t="s">
        <v>129</v>
      </c>
      <c r="M32" s="51" t="s">
        <v>129</v>
      </c>
      <c r="N32" s="51" t="s">
        <v>129</v>
      </c>
      <c r="O32" s="51" t="s">
        <v>129</v>
      </c>
      <c r="P32" s="51" t="s">
        <v>129</v>
      </c>
      <c r="Q32" s="51" t="s">
        <v>129</v>
      </c>
      <c r="R32" s="51" t="s">
        <v>129</v>
      </c>
      <c r="S32" s="51">
        <v>0</v>
      </c>
      <c r="T32" s="51" t="s">
        <v>129</v>
      </c>
      <c r="U32" s="51">
        <v>2</v>
      </c>
      <c r="V32" s="51" t="s">
        <v>129</v>
      </c>
      <c r="W32" s="51">
        <v>0</v>
      </c>
      <c r="X32" s="51" t="s">
        <v>129</v>
      </c>
      <c r="Y32" s="51">
        <v>0</v>
      </c>
      <c r="Z32" s="51" t="s">
        <v>129</v>
      </c>
      <c r="AA32" s="51" t="s">
        <v>129</v>
      </c>
      <c r="AB32" s="51" t="s">
        <v>129</v>
      </c>
      <c r="AC32" s="51" t="s">
        <v>129</v>
      </c>
      <c r="AD32" s="51" t="s">
        <v>129</v>
      </c>
      <c r="AE32" s="51" t="s">
        <v>129</v>
      </c>
      <c r="AF32" s="51" t="s">
        <v>129</v>
      </c>
      <c r="AG32" s="51" t="s">
        <v>129</v>
      </c>
      <c r="AH32" s="51" t="s">
        <v>129</v>
      </c>
      <c r="AI32" s="51">
        <v>0</v>
      </c>
      <c r="AJ32" s="51" t="s">
        <v>129</v>
      </c>
      <c r="AK32" s="51">
        <v>0</v>
      </c>
      <c r="AL32" s="51" t="s">
        <v>129</v>
      </c>
      <c r="AM32" s="51">
        <v>0</v>
      </c>
      <c r="AN32" s="51" t="s">
        <v>129</v>
      </c>
      <c r="AO32" s="51">
        <v>0</v>
      </c>
      <c r="AP32" s="51" t="s">
        <v>129</v>
      </c>
      <c r="AQ32" s="51" t="s">
        <v>129</v>
      </c>
      <c r="AR32" s="51" t="s">
        <v>129</v>
      </c>
      <c r="AS32" s="51" t="s">
        <v>129</v>
      </c>
      <c r="AT32" s="51" t="s">
        <v>129</v>
      </c>
      <c r="AU32" s="51" t="s">
        <v>129</v>
      </c>
      <c r="AV32" s="51" t="s">
        <v>129</v>
      </c>
      <c r="AW32" s="51" t="s">
        <v>129</v>
      </c>
      <c r="AX32" s="51" t="s">
        <v>129</v>
      </c>
      <c r="AY32" s="51">
        <v>0</v>
      </c>
      <c r="AZ32" s="51" t="s">
        <v>129</v>
      </c>
      <c r="BA32" s="51">
        <v>0</v>
      </c>
      <c r="BB32" s="51" t="s">
        <v>129</v>
      </c>
      <c r="BC32" s="51">
        <v>0</v>
      </c>
      <c r="BD32" s="51" t="s">
        <v>129</v>
      </c>
      <c r="BE32" s="51">
        <v>0</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0</v>
      </c>
      <c r="D33" s="51" t="s">
        <v>129</v>
      </c>
      <c r="E33" s="51">
        <v>0</v>
      </c>
      <c r="F33" s="51" t="s">
        <v>129</v>
      </c>
      <c r="G33" s="51">
        <v>0</v>
      </c>
      <c r="H33" s="51" t="s">
        <v>129</v>
      </c>
      <c r="I33" s="51">
        <v>0</v>
      </c>
      <c r="J33" s="51" t="s">
        <v>129</v>
      </c>
      <c r="K33" s="51" t="s">
        <v>129</v>
      </c>
      <c r="L33" s="51" t="s">
        <v>129</v>
      </c>
      <c r="M33" s="51" t="s">
        <v>129</v>
      </c>
      <c r="N33" s="51" t="s">
        <v>129</v>
      </c>
      <c r="O33" s="51" t="s">
        <v>129</v>
      </c>
      <c r="P33" s="51" t="s">
        <v>129</v>
      </c>
      <c r="Q33" s="51" t="s">
        <v>129</v>
      </c>
      <c r="R33" s="51" t="s">
        <v>129</v>
      </c>
      <c r="S33" s="51">
        <v>0</v>
      </c>
      <c r="T33" s="51" t="s">
        <v>129</v>
      </c>
      <c r="U33" s="51">
        <v>1</v>
      </c>
      <c r="V33" s="51" t="s">
        <v>129</v>
      </c>
      <c r="W33" s="51">
        <v>0</v>
      </c>
      <c r="X33" s="51" t="s">
        <v>129</v>
      </c>
      <c r="Y33" s="51">
        <v>0</v>
      </c>
      <c r="Z33" s="51" t="s">
        <v>129</v>
      </c>
      <c r="AA33" s="51" t="s">
        <v>129</v>
      </c>
      <c r="AB33" s="51" t="s">
        <v>129</v>
      </c>
      <c r="AC33" s="51" t="s">
        <v>129</v>
      </c>
      <c r="AD33" s="51" t="s">
        <v>129</v>
      </c>
      <c r="AE33" s="51" t="s">
        <v>129</v>
      </c>
      <c r="AF33" s="51" t="s">
        <v>129</v>
      </c>
      <c r="AG33" s="51" t="s">
        <v>129</v>
      </c>
      <c r="AH33" s="51" t="s">
        <v>129</v>
      </c>
      <c r="AI33" s="51">
        <v>0</v>
      </c>
      <c r="AJ33" s="51" t="s">
        <v>129</v>
      </c>
      <c r="AK33" s="51">
        <v>0</v>
      </c>
      <c r="AL33" s="51" t="s">
        <v>129</v>
      </c>
      <c r="AM33" s="51">
        <v>0</v>
      </c>
      <c r="AN33" s="51" t="s">
        <v>129</v>
      </c>
      <c r="AO33" s="51">
        <v>0</v>
      </c>
      <c r="AP33" s="51" t="s">
        <v>129</v>
      </c>
      <c r="AQ33" s="51" t="s">
        <v>129</v>
      </c>
      <c r="AR33" s="51" t="s">
        <v>129</v>
      </c>
      <c r="AS33" s="51" t="s">
        <v>129</v>
      </c>
      <c r="AT33" s="51" t="s">
        <v>129</v>
      </c>
      <c r="AU33" s="51" t="s">
        <v>129</v>
      </c>
      <c r="AV33" s="51" t="s">
        <v>129</v>
      </c>
      <c r="AW33" s="51" t="s">
        <v>129</v>
      </c>
      <c r="AX33" s="51" t="s">
        <v>129</v>
      </c>
      <c r="AY33" s="51">
        <v>0</v>
      </c>
      <c r="AZ33" s="51" t="s">
        <v>129</v>
      </c>
      <c r="BA33" s="51">
        <v>0</v>
      </c>
      <c r="BB33" s="51" t="s">
        <v>129</v>
      </c>
      <c r="BC33" s="51">
        <v>0</v>
      </c>
      <c r="BD33" s="51" t="s">
        <v>129</v>
      </c>
      <c r="BE33" s="51">
        <v>0</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0</v>
      </c>
      <c r="D34" s="51" t="s">
        <v>129</v>
      </c>
      <c r="E34" s="51">
        <v>0</v>
      </c>
      <c r="F34" s="51" t="s">
        <v>129</v>
      </c>
      <c r="G34" s="51">
        <v>0</v>
      </c>
      <c r="H34" s="51" t="s">
        <v>129</v>
      </c>
      <c r="I34" s="51">
        <v>0</v>
      </c>
      <c r="J34" s="51" t="s">
        <v>129</v>
      </c>
      <c r="K34" s="51" t="s">
        <v>129</v>
      </c>
      <c r="L34" s="51" t="s">
        <v>129</v>
      </c>
      <c r="M34" s="51" t="s">
        <v>129</v>
      </c>
      <c r="N34" s="51" t="s">
        <v>129</v>
      </c>
      <c r="O34" s="51" t="s">
        <v>129</v>
      </c>
      <c r="P34" s="51" t="s">
        <v>129</v>
      </c>
      <c r="Q34" s="51" t="s">
        <v>129</v>
      </c>
      <c r="R34" s="51" t="s">
        <v>129</v>
      </c>
      <c r="S34" s="51">
        <v>0</v>
      </c>
      <c r="T34" s="51" t="s">
        <v>129</v>
      </c>
      <c r="U34" s="51">
        <v>0</v>
      </c>
      <c r="V34" s="51" t="s">
        <v>129</v>
      </c>
      <c r="W34" s="51">
        <v>0</v>
      </c>
      <c r="X34" s="51" t="s">
        <v>129</v>
      </c>
      <c r="Y34" s="51">
        <v>0</v>
      </c>
      <c r="Z34" s="51" t="s">
        <v>129</v>
      </c>
      <c r="AA34" s="51" t="s">
        <v>129</v>
      </c>
      <c r="AB34" s="51" t="s">
        <v>129</v>
      </c>
      <c r="AC34" s="51" t="s">
        <v>129</v>
      </c>
      <c r="AD34" s="51" t="s">
        <v>129</v>
      </c>
      <c r="AE34" s="51" t="s">
        <v>129</v>
      </c>
      <c r="AF34" s="51" t="s">
        <v>129</v>
      </c>
      <c r="AG34" s="51" t="s">
        <v>129</v>
      </c>
      <c r="AH34" s="51" t="s">
        <v>129</v>
      </c>
      <c r="AI34" s="51">
        <v>0</v>
      </c>
      <c r="AJ34" s="51" t="s">
        <v>129</v>
      </c>
      <c r="AK34" s="51">
        <v>0</v>
      </c>
      <c r="AL34" s="51" t="s">
        <v>129</v>
      </c>
      <c r="AM34" s="51">
        <v>0</v>
      </c>
      <c r="AN34" s="51" t="s">
        <v>129</v>
      </c>
      <c r="AO34" s="51">
        <v>0</v>
      </c>
      <c r="AP34" s="51" t="s">
        <v>129</v>
      </c>
      <c r="AQ34" s="51" t="s">
        <v>129</v>
      </c>
      <c r="AR34" s="51" t="s">
        <v>129</v>
      </c>
      <c r="AS34" s="51" t="s">
        <v>129</v>
      </c>
      <c r="AT34" s="51" t="s">
        <v>129</v>
      </c>
      <c r="AU34" s="51" t="s">
        <v>129</v>
      </c>
      <c r="AV34" s="51" t="s">
        <v>129</v>
      </c>
      <c r="AW34" s="51" t="s">
        <v>129</v>
      </c>
      <c r="AX34" s="51" t="s">
        <v>129</v>
      </c>
      <c r="AY34" s="51">
        <v>0</v>
      </c>
      <c r="AZ34" s="51" t="s">
        <v>129</v>
      </c>
      <c r="BA34" s="51">
        <v>0</v>
      </c>
      <c r="BB34" s="51" t="s">
        <v>129</v>
      </c>
      <c r="BC34" s="51">
        <v>0</v>
      </c>
      <c r="BD34" s="51" t="s">
        <v>129</v>
      </c>
      <c r="BE34" s="51">
        <v>0</v>
      </c>
      <c r="BF34" s="51" t="s">
        <v>129</v>
      </c>
      <c r="BG34" s="51" t="s">
        <v>129</v>
      </c>
      <c r="BH34" s="51" t="s">
        <v>129</v>
      </c>
      <c r="BI34" s="51" t="s">
        <v>129</v>
      </c>
      <c r="BJ34" s="51" t="s">
        <v>129</v>
      </c>
      <c r="BK34" s="51" t="s">
        <v>129</v>
      </c>
      <c r="BL34" s="51" t="s">
        <v>129</v>
      </c>
      <c r="BM34" s="51"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427AC-5FE4-40B2-B2DF-63729095E471}">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61" t="s">
        <v>173</v>
      </c>
      <c r="B1" s="61"/>
      <c r="C1" s="66" t="s">
        <v>175</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1" t="s">
        <v>172</v>
      </c>
      <c r="B2" s="61"/>
      <c r="C2" s="68">
        <v>44291</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1" t="s">
        <v>9</v>
      </c>
      <c r="B3" s="61"/>
      <c r="C3" s="67">
        <v>0.29166666666666669</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1" t="s">
        <v>171</v>
      </c>
      <c r="B4" s="61"/>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1" t="s">
        <v>170</v>
      </c>
      <c r="B5" s="61"/>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1" t="s">
        <v>129</v>
      </c>
      <c r="B6" s="61"/>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1" t="s">
        <v>129</v>
      </c>
      <c r="B7" s="61"/>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1" t="s">
        <v>129</v>
      </c>
      <c r="B8" s="61"/>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1" t="s">
        <v>129</v>
      </c>
      <c r="B9" s="61"/>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1" t="s">
        <v>169</v>
      </c>
      <c r="B10" s="61"/>
      <c r="C10" s="62" t="s">
        <v>168</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1" t="s">
        <v>167</v>
      </c>
      <c r="B11" s="61"/>
      <c r="C11" s="62" t="s">
        <v>174</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1" t="s">
        <v>129</v>
      </c>
      <c r="B12" s="63" t="s">
        <v>165</v>
      </c>
      <c r="C12" s="64"/>
      <c r="D12" s="64"/>
      <c r="E12" s="64"/>
      <c r="F12" s="64"/>
      <c r="G12" s="64"/>
      <c r="H12" s="64"/>
      <c r="I12" s="65"/>
      <c r="J12" s="63" t="s">
        <v>161</v>
      </c>
      <c r="K12" s="64"/>
      <c r="L12" s="64"/>
      <c r="M12" s="64"/>
      <c r="N12" s="64"/>
      <c r="O12" s="64"/>
      <c r="P12" s="64"/>
      <c r="Q12" s="65"/>
      <c r="R12" s="63" t="s">
        <v>164</v>
      </c>
      <c r="S12" s="64"/>
      <c r="T12" s="64"/>
      <c r="U12" s="64"/>
      <c r="V12" s="64"/>
      <c r="W12" s="64"/>
      <c r="X12" s="64"/>
      <c r="Y12" s="65"/>
      <c r="Z12" s="63" t="s">
        <v>161</v>
      </c>
      <c r="AA12" s="64"/>
      <c r="AB12" s="64"/>
      <c r="AC12" s="64"/>
      <c r="AD12" s="64"/>
      <c r="AE12" s="64"/>
      <c r="AF12" s="64"/>
      <c r="AG12" s="65"/>
      <c r="AH12" s="63" t="s">
        <v>163</v>
      </c>
      <c r="AI12" s="64"/>
      <c r="AJ12" s="64"/>
      <c r="AK12" s="64"/>
      <c r="AL12" s="64"/>
      <c r="AM12" s="64"/>
      <c r="AN12" s="64"/>
      <c r="AO12" s="65"/>
      <c r="AP12" s="63" t="s">
        <v>161</v>
      </c>
      <c r="AQ12" s="64"/>
      <c r="AR12" s="64"/>
      <c r="AS12" s="64"/>
      <c r="AT12" s="64"/>
      <c r="AU12" s="64"/>
      <c r="AV12" s="64"/>
      <c r="AW12" s="65"/>
      <c r="AX12" s="63" t="s">
        <v>162</v>
      </c>
      <c r="AY12" s="64"/>
      <c r="AZ12" s="64"/>
      <c r="BA12" s="64"/>
      <c r="BB12" s="64"/>
      <c r="BC12" s="64"/>
      <c r="BD12" s="64"/>
      <c r="BE12" s="65"/>
      <c r="BF12" s="63" t="s">
        <v>161</v>
      </c>
      <c r="BG12" s="64"/>
      <c r="BH12" s="64"/>
      <c r="BI12" s="64"/>
      <c r="BJ12" s="64"/>
      <c r="BK12" s="64"/>
      <c r="BL12" s="64"/>
      <c r="BM12" s="65"/>
    </row>
    <row r="13" spans="1:65" ht="15" customHeight="1" x14ac:dyDescent="0.2">
      <c r="A13" s="51" t="s">
        <v>129</v>
      </c>
      <c r="B13" s="58" t="s">
        <v>160</v>
      </c>
      <c r="C13" s="59"/>
      <c r="D13" s="59"/>
      <c r="E13" s="59"/>
      <c r="F13" s="59"/>
      <c r="G13" s="59"/>
      <c r="H13" s="59"/>
      <c r="I13" s="60"/>
      <c r="J13" s="58" t="s">
        <v>159</v>
      </c>
      <c r="K13" s="59"/>
      <c r="L13" s="59"/>
      <c r="M13" s="59"/>
      <c r="N13" s="59"/>
      <c r="O13" s="59"/>
      <c r="P13" s="59"/>
      <c r="Q13" s="60"/>
      <c r="R13" s="58" t="s">
        <v>158</v>
      </c>
      <c r="S13" s="59"/>
      <c r="T13" s="59"/>
      <c r="U13" s="59"/>
      <c r="V13" s="59"/>
      <c r="W13" s="59"/>
      <c r="X13" s="59"/>
      <c r="Y13" s="60"/>
      <c r="Z13" s="58" t="s">
        <v>157</v>
      </c>
      <c r="AA13" s="59"/>
      <c r="AB13" s="59"/>
      <c r="AC13" s="59"/>
      <c r="AD13" s="59"/>
      <c r="AE13" s="59"/>
      <c r="AF13" s="59"/>
      <c r="AG13" s="60"/>
      <c r="AH13" s="58" t="s">
        <v>156</v>
      </c>
      <c r="AI13" s="59"/>
      <c r="AJ13" s="59"/>
      <c r="AK13" s="59"/>
      <c r="AL13" s="59"/>
      <c r="AM13" s="59"/>
      <c r="AN13" s="59"/>
      <c r="AO13" s="60"/>
      <c r="AP13" s="58" t="s">
        <v>155</v>
      </c>
      <c r="AQ13" s="59"/>
      <c r="AR13" s="59"/>
      <c r="AS13" s="59"/>
      <c r="AT13" s="59"/>
      <c r="AU13" s="59"/>
      <c r="AV13" s="59"/>
      <c r="AW13" s="60"/>
      <c r="AX13" s="58" t="s">
        <v>154</v>
      </c>
      <c r="AY13" s="59"/>
      <c r="AZ13" s="59"/>
      <c r="BA13" s="59"/>
      <c r="BB13" s="59"/>
      <c r="BC13" s="59"/>
      <c r="BD13" s="59"/>
      <c r="BE13" s="60"/>
      <c r="BF13" s="58" t="s">
        <v>153</v>
      </c>
      <c r="BG13" s="59"/>
      <c r="BH13" s="59"/>
      <c r="BI13" s="59"/>
      <c r="BJ13" s="59"/>
      <c r="BK13" s="59"/>
      <c r="BL13" s="59"/>
      <c r="BM13" s="60"/>
    </row>
    <row r="14" spans="1:65" ht="15" customHeight="1" x14ac:dyDescent="0.2">
      <c r="A14" s="53" t="s">
        <v>9</v>
      </c>
      <c r="B14" s="53" t="s">
        <v>152</v>
      </c>
      <c r="C14" s="53" t="s">
        <v>151</v>
      </c>
      <c r="D14" s="53" t="s">
        <v>150</v>
      </c>
      <c r="E14" s="53" t="s">
        <v>149</v>
      </c>
      <c r="F14" s="53" t="s">
        <v>148</v>
      </c>
      <c r="G14" s="53" t="s">
        <v>147</v>
      </c>
      <c r="H14" s="53" t="s">
        <v>146</v>
      </c>
      <c r="I14" s="53" t="s">
        <v>100</v>
      </c>
      <c r="J14" s="53" t="s">
        <v>152</v>
      </c>
      <c r="K14" s="53" t="s">
        <v>151</v>
      </c>
      <c r="L14" s="53" t="s">
        <v>150</v>
      </c>
      <c r="M14" s="53" t="s">
        <v>149</v>
      </c>
      <c r="N14" s="53" t="s">
        <v>148</v>
      </c>
      <c r="O14" s="53" t="s">
        <v>147</v>
      </c>
      <c r="P14" s="53" t="s">
        <v>146</v>
      </c>
      <c r="Q14" s="53" t="s">
        <v>100</v>
      </c>
      <c r="R14" s="53" t="s">
        <v>152</v>
      </c>
      <c r="S14" s="53" t="s">
        <v>151</v>
      </c>
      <c r="T14" s="53" t="s">
        <v>150</v>
      </c>
      <c r="U14" s="53" t="s">
        <v>149</v>
      </c>
      <c r="V14" s="53" t="s">
        <v>148</v>
      </c>
      <c r="W14" s="53" t="s">
        <v>147</v>
      </c>
      <c r="X14" s="53" t="s">
        <v>146</v>
      </c>
      <c r="Y14" s="53" t="s">
        <v>100</v>
      </c>
      <c r="Z14" s="53" t="s">
        <v>152</v>
      </c>
      <c r="AA14" s="53" t="s">
        <v>151</v>
      </c>
      <c r="AB14" s="53" t="s">
        <v>150</v>
      </c>
      <c r="AC14" s="53" t="s">
        <v>149</v>
      </c>
      <c r="AD14" s="53" t="s">
        <v>148</v>
      </c>
      <c r="AE14" s="53" t="s">
        <v>147</v>
      </c>
      <c r="AF14" s="53" t="s">
        <v>146</v>
      </c>
      <c r="AG14" s="53" t="s">
        <v>100</v>
      </c>
      <c r="AH14" s="53" t="s">
        <v>152</v>
      </c>
      <c r="AI14" s="53" t="s">
        <v>151</v>
      </c>
      <c r="AJ14" s="53" t="s">
        <v>150</v>
      </c>
      <c r="AK14" s="53" t="s">
        <v>149</v>
      </c>
      <c r="AL14" s="53" t="s">
        <v>148</v>
      </c>
      <c r="AM14" s="53" t="s">
        <v>147</v>
      </c>
      <c r="AN14" s="53" t="s">
        <v>146</v>
      </c>
      <c r="AO14" s="53" t="s">
        <v>100</v>
      </c>
      <c r="AP14" s="53" t="s">
        <v>152</v>
      </c>
      <c r="AQ14" s="53" t="s">
        <v>151</v>
      </c>
      <c r="AR14" s="53" t="s">
        <v>150</v>
      </c>
      <c r="AS14" s="53" t="s">
        <v>149</v>
      </c>
      <c r="AT14" s="53" t="s">
        <v>148</v>
      </c>
      <c r="AU14" s="53" t="s">
        <v>147</v>
      </c>
      <c r="AV14" s="53" t="s">
        <v>146</v>
      </c>
      <c r="AW14" s="53" t="s">
        <v>100</v>
      </c>
      <c r="AX14" s="53" t="s">
        <v>152</v>
      </c>
      <c r="AY14" s="53" t="s">
        <v>151</v>
      </c>
      <c r="AZ14" s="53" t="s">
        <v>150</v>
      </c>
      <c r="BA14" s="53" t="s">
        <v>149</v>
      </c>
      <c r="BB14" s="53" t="s">
        <v>148</v>
      </c>
      <c r="BC14" s="53" t="s">
        <v>147</v>
      </c>
      <c r="BD14" s="53" t="s">
        <v>146</v>
      </c>
      <c r="BE14" s="53" t="s">
        <v>100</v>
      </c>
      <c r="BF14" s="53" t="s">
        <v>152</v>
      </c>
      <c r="BG14" s="53" t="s">
        <v>151</v>
      </c>
      <c r="BH14" s="53" t="s">
        <v>150</v>
      </c>
      <c r="BI14" s="53" t="s">
        <v>149</v>
      </c>
      <c r="BJ14" s="53" t="s">
        <v>148</v>
      </c>
      <c r="BK14" s="53" t="s">
        <v>147</v>
      </c>
      <c r="BL14" s="53" t="s">
        <v>146</v>
      </c>
      <c r="BM14" s="53" t="s">
        <v>100</v>
      </c>
    </row>
    <row r="15" spans="1:65" ht="15" customHeight="1" x14ac:dyDescent="0.2">
      <c r="A15" s="51" t="s">
        <v>145</v>
      </c>
      <c r="B15" s="51" t="s">
        <v>129</v>
      </c>
      <c r="C15" s="51">
        <v>38</v>
      </c>
      <c r="D15" s="51" t="s">
        <v>129</v>
      </c>
      <c r="E15" s="51">
        <v>199</v>
      </c>
      <c r="F15" s="51" t="s">
        <v>129</v>
      </c>
      <c r="G15" s="51">
        <v>11</v>
      </c>
      <c r="H15" s="51" t="s">
        <v>129</v>
      </c>
      <c r="I15" s="51">
        <v>0</v>
      </c>
      <c r="J15" s="51" t="s">
        <v>129</v>
      </c>
      <c r="K15" s="51" t="s">
        <v>129</v>
      </c>
      <c r="L15" s="51" t="s">
        <v>129</v>
      </c>
      <c r="M15" s="51" t="s">
        <v>129</v>
      </c>
      <c r="N15" s="51" t="s">
        <v>129</v>
      </c>
      <c r="O15" s="51" t="s">
        <v>129</v>
      </c>
      <c r="P15" s="51" t="s">
        <v>129</v>
      </c>
      <c r="Q15" s="51" t="s">
        <v>129</v>
      </c>
      <c r="R15" s="51" t="s">
        <v>129</v>
      </c>
      <c r="S15" s="51">
        <v>32</v>
      </c>
      <c r="T15" s="51" t="s">
        <v>129</v>
      </c>
      <c r="U15" s="51">
        <v>104</v>
      </c>
      <c r="V15" s="51" t="s">
        <v>129</v>
      </c>
      <c r="W15" s="51">
        <v>11</v>
      </c>
      <c r="X15" s="51" t="s">
        <v>129</v>
      </c>
      <c r="Y15" s="51">
        <v>0</v>
      </c>
      <c r="Z15" s="51" t="s">
        <v>129</v>
      </c>
      <c r="AA15" s="51" t="s">
        <v>129</v>
      </c>
      <c r="AB15" s="51" t="s">
        <v>129</v>
      </c>
      <c r="AC15" s="51" t="s">
        <v>129</v>
      </c>
      <c r="AD15" s="51" t="s">
        <v>129</v>
      </c>
      <c r="AE15" s="51" t="s">
        <v>129</v>
      </c>
      <c r="AF15" s="51" t="s">
        <v>129</v>
      </c>
      <c r="AG15" s="51" t="s">
        <v>129</v>
      </c>
      <c r="AH15" s="51" t="s">
        <v>129</v>
      </c>
      <c r="AI15" s="51">
        <v>83</v>
      </c>
      <c r="AJ15" s="51" t="s">
        <v>129</v>
      </c>
      <c r="AK15" s="51">
        <v>180</v>
      </c>
      <c r="AL15" s="51" t="s">
        <v>129</v>
      </c>
      <c r="AM15" s="51">
        <v>31</v>
      </c>
      <c r="AN15" s="51" t="s">
        <v>129</v>
      </c>
      <c r="AO15" s="51">
        <v>0</v>
      </c>
      <c r="AP15" s="51" t="s">
        <v>129</v>
      </c>
      <c r="AQ15" s="51" t="s">
        <v>129</v>
      </c>
      <c r="AR15" s="51" t="s">
        <v>129</v>
      </c>
      <c r="AS15" s="51" t="s">
        <v>129</v>
      </c>
      <c r="AT15" s="51" t="s">
        <v>129</v>
      </c>
      <c r="AU15" s="51" t="s">
        <v>129</v>
      </c>
      <c r="AV15" s="51" t="s">
        <v>129</v>
      </c>
      <c r="AW15" s="51" t="s">
        <v>129</v>
      </c>
      <c r="AX15" s="51" t="s">
        <v>129</v>
      </c>
      <c r="AY15" s="51">
        <v>5</v>
      </c>
      <c r="AZ15" s="51" t="s">
        <v>129</v>
      </c>
      <c r="BA15" s="51">
        <v>123</v>
      </c>
      <c r="BB15" s="51" t="s">
        <v>129</v>
      </c>
      <c r="BC15" s="51">
        <v>59</v>
      </c>
      <c r="BD15" s="51" t="s">
        <v>129</v>
      </c>
      <c r="BE15" s="51">
        <v>0</v>
      </c>
      <c r="BF15" s="51" t="s">
        <v>129</v>
      </c>
      <c r="BG15" s="51" t="s">
        <v>129</v>
      </c>
      <c r="BH15" s="51" t="s">
        <v>129</v>
      </c>
      <c r="BI15" s="51" t="s">
        <v>129</v>
      </c>
      <c r="BJ15" s="51" t="s">
        <v>129</v>
      </c>
      <c r="BK15" s="51" t="s">
        <v>129</v>
      </c>
      <c r="BL15" s="51" t="s">
        <v>129</v>
      </c>
      <c r="BM15" s="51" t="s">
        <v>129</v>
      </c>
    </row>
    <row r="16" spans="1:65" ht="15" customHeight="1" x14ac:dyDescent="0.2">
      <c r="A16" s="51" t="s">
        <v>144</v>
      </c>
      <c r="B16" s="51" t="s">
        <v>129</v>
      </c>
      <c r="C16" s="51">
        <v>25</v>
      </c>
      <c r="D16" s="51" t="s">
        <v>129</v>
      </c>
      <c r="E16" s="51">
        <v>258</v>
      </c>
      <c r="F16" s="51" t="s">
        <v>129</v>
      </c>
      <c r="G16" s="51">
        <v>16</v>
      </c>
      <c r="H16" s="51" t="s">
        <v>129</v>
      </c>
      <c r="I16" s="51">
        <v>0</v>
      </c>
      <c r="J16" s="51" t="s">
        <v>129</v>
      </c>
      <c r="K16" s="51" t="s">
        <v>129</v>
      </c>
      <c r="L16" s="51" t="s">
        <v>129</v>
      </c>
      <c r="M16" s="51" t="s">
        <v>129</v>
      </c>
      <c r="N16" s="51" t="s">
        <v>129</v>
      </c>
      <c r="O16" s="51" t="s">
        <v>129</v>
      </c>
      <c r="P16" s="51" t="s">
        <v>129</v>
      </c>
      <c r="Q16" s="51" t="s">
        <v>129</v>
      </c>
      <c r="R16" s="51" t="s">
        <v>129</v>
      </c>
      <c r="S16" s="51">
        <v>47</v>
      </c>
      <c r="T16" s="51" t="s">
        <v>129</v>
      </c>
      <c r="U16" s="51">
        <v>126</v>
      </c>
      <c r="V16" s="51" t="s">
        <v>129</v>
      </c>
      <c r="W16" s="51">
        <v>17</v>
      </c>
      <c r="X16" s="51" t="s">
        <v>129</v>
      </c>
      <c r="Y16" s="51">
        <v>0</v>
      </c>
      <c r="Z16" s="51" t="s">
        <v>129</v>
      </c>
      <c r="AA16" s="51" t="s">
        <v>129</v>
      </c>
      <c r="AB16" s="51" t="s">
        <v>129</v>
      </c>
      <c r="AC16" s="51" t="s">
        <v>129</v>
      </c>
      <c r="AD16" s="51" t="s">
        <v>129</v>
      </c>
      <c r="AE16" s="51" t="s">
        <v>129</v>
      </c>
      <c r="AF16" s="51" t="s">
        <v>129</v>
      </c>
      <c r="AG16" s="51" t="s">
        <v>129</v>
      </c>
      <c r="AH16" s="51" t="s">
        <v>129</v>
      </c>
      <c r="AI16" s="51">
        <v>128</v>
      </c>
      <c r="AJ16" s="51" t="s">
        <v>129</v>
      </c>
      <c r="AK16" s="51">
        <v>219</v>
      </c>
      <c r="AL16" s="51" t="s">
        <v>129</v>
      </c>
      <c r="AM16" s="51">
        <v>54</v>
      </c>
      <c r="AN16" s="51" t="s">
        <v>129</v>
      </c>
      <c r="AO16" s="51">
        <v>0</v>
      </c>
      <c r="AP16" s="51" t="s">
        <v>129</v>
      </c>
      <c r="AQ16" s="51" t="s">
        <v>129</v>
      </c>
      <c r="AR16" s="51" t="s">
        <v>129</v>
      </c>
      <c r="AS16" s="51" t="s">
        <v>129</v>
      </c>
      <c r="AT16" s="51" t="s">
        <v>129</v>
      </c>
      <c r="AU16" s="51" t="s">
        <v>129</v>
      </c>
      <c r="AV16" s="51" t="s">
        <v>129</v>
      </c>
      <c r="AW16" s="51" t="s">
        <v>129</v>
      </c>
      <c r="AX16" s="51" t="s">
        <v>129</v>
      </c>
      <c r="AY16" s="51">
        <v>5</v>
      </c>
      <c r="AZ16" s="51" t="s">
        <v>129</v>
      </c>
      <c r="BA16" s="51">
        <v>138</v>
      </c>
      <c r="BB16" s="51" t="s">
        <v>129</v>
      </c>
      <c r="BC16" s="51">
        <v>73</v>
      </c>
      <c r="BD16" s="51" t="s">
        <v>129</v>
      </c>
      <c r="BE16" s="51">
        <v>0</v>
      </c>
      <c r="BF16" s="51" t="s">
        <v>129</v>
      </c>
      <c r="BG16" s="51" t="s">
        <v>129</v>
      </c>
      <c r="BH16" s="51" t="s">
        <v>129</v>
      </c>
      <c r="BI16" s="51" t="s">
        <v>129</v>
      </c>
      <c r="BJ16" s="51" t="s">
        <v>129</v>
      </c>
      <c r="BK16" s="51" t="s">
        <v>129</v>
      </c>
      <c r="BL16" s="51" t="s">
        <v>129</v>
      </c>
      <c r="BM16" s="51" t="s">
        <v>129</v>
      </c>
    </row>
    <row r="17" spans="1:65" ht="15" customHeight="1" x14ac:dyDescent="0.2">
      <c r="A17" s="51" t="s">
        <v>143</v>
      </c>
      <c r="B17" s="51" t="s">
        <v>129</v>
      </c>
      <c r="C17" s="51">
        <v>45</v>
      </c>
      <c r="D17" s="51" t="s">
        <v>129</v>
      </c>
      <c r="E17" s="51">
        <v>219</v>
      </c>
      <c r="F17" s="51" t="s">
        <v>129</v>
      </c>
      <c r="G17" s="51">
        <v>16</v>
      </c>
      <c r="H17" s="51" t="s">
        <v>129</v>
      </c>
      <c r="I17" s="51">
        <v>0</v>
      </c>
      <c r="J17" s="51" t="s">
        <v>129</v>
      </c>
      <c r="K17" s="51" t="s">
        <v>129</v>
      </c>
      <c r="L17" s="51" t="s">
        <v>129</v>
      </c>
      <c r="M17" s="51" t="s">
        <v>129</v>
      </c>
      <c r="N17" s="51" t="s">
        <v>129</v>
      </c>
      <c r="O17" s="51" t="s">
        <v>129</v>
      </c>
      <c r="P17" s="51" t="s">
        <v>129</v>
      </c>
      <c r="Q17" s="51" t="s">
        <v>129</v>
      </c>
      <c r="R17" s="51" t="s">
        <v>129</v>
      </c>
      <c r="S17" s="51">
        <v>53</v>
      </c>
      <c r="T17" s="51" t="s">
        <v>129</v>
      </c>
      <c r="U17" s="51">
        <v>145</v>
      </c>
      <c r="V17" s="51" t="s">
        <v>129</v>
      </c>
      <c r="W17" s="51">
        <v>15</v>
      </c>
      <c r="X17" s="51" t="s">
        <v>129</v>
      </c>
      <c r="Y17" s="51">
        <v>0</v>
      </c>
      <c r="Z17" s="51" t="s">
        <v>129</v>
      </c>
      <c r="AA17" s="51" t="s">
        <v>129</v>
      </c>
      <c r="AB17" s="51" t="s">
        <v>129</v>
      </c>
      <c r="AC17" s="51" t="s">
        <v>129</v>
      </c>
      <c r="AD17" s="51" t="s">
        <v>129</v>
      </c>
      <c r="AE17" s="51" t="s">
        <v>129</v>
      </c>
      <c r="AF17" s="51" t="s">
        <v>129</v>
      </c>
      <c r="AG17" s="51" t="s">
        <v>129</v>
      </c>
      <c r="AH17" s="51" t="s">
        <v>129</v>
      </c>
      <c r="AI17" s="51">
        <v>123</v>
      </c>
      <c r="AJ17" s="51" t="s">
        <v>129</v>
      </c>
      <c r="AK17" s="51">
        <v>298</v>
      </c>
      <c r="AL17" s="51" t="s">
        <v>129</v>
      </c>
      <c r="AM17" s="51">
        <v>63</v>
      </c>
      <c r="AN17" s="51" t="s">
        <v>129</v>
      </c>
      <c r="AO17" s="51">
        <v>1</v>
      </c>
      <c r="AP17" s="51" t="s">
        <v>129</v>
      </c>
      <c r="AQ17" s="51" t="s">
        <v>129</v>
      </c>
      <c r="AR17" s="51" t="s">
        <v>129</v>
      </c>
      <c r="AS17" s="51" t="s">
        <v>129</v>
      </c>
      <c r="AT17" s="51" t="s">
        <v>129</v>
      </c>
      <c r="AU17" s="51" t="s">
        <v>129</v>
      </c>
      <c r="AV17" s="51" t="s">
        <v>129</v>
      </c>
      <c r="AW17" s="51" t="s">
        <v>129</v>
      </c>
      <c r="AX17" s="51" t="s">
        <v>129</v>
      </c>
      <c r="AY17" s="51">
        <v>6</v>
      </c>
      <c r="AZ17" s="51" t="s">
        <v>129</v>
      </c>
      <c r="BA17" s="51">
        <v>186</v>
      </c>
      <c r="BB17" s="51" t="s">
        <v>129</v>
      </c>
      <c r="BC17" s="51">
        <v>70</v>
      </c>
      <c r="BD17" s="51" t="s">
        <v>129</v>
      </c>
      <c r="BE17" s="51">
        <v>0</v>
      </c>
      <c r="BF17" s="51" t="s">
        <v>129</v>
      </c>
      <c r="BG17" s="51" t="s">
        <v>129</v>
      </c>
      <c r="BH17" s="51" t="s">
        <v>129</v>
      </c>
      <c r="BI17" s="51" t="s">
        <v>129</v>
      </c>
      <c r="BJ17" s="51" t="s">
        <v>129</v>
      </c>
      <c r="BK17" s="51" t="s">
        <v>129</v>
      </c>
      <c r="BL17" s="51" t="s">
        <v>129</v>
      </c>
      <c r="BM17" s="51" t="s">
        <v>129</v>
      </c>
    </row>
    <row r="18" spans="1:65" ht="15" customHeight="1" x14ac:dyDescent="0.2">
      <c r="A18" s="51" t="s">
        <v>142</v>
      </c>
      <c r="B18" s="51" t="s">
        <v>129</v>
      </c>
      <c r="C18" s="51">
        <v>57</v>
      </c>
      <c r="D18" s="51" t="s">
        <v>129</v>
      </c>
      <c r="E18" s="51">
        <v>234</v>
      </c>
      <c r="F18" s="51" t="s">
        <v>129</v>
      </c>
      <c r="G18" s="51">
        <v>20</v>
      </c>
      <c r="H18" s="51" t="s">
        <v>129</v>
      </c>
      <c r="I18" s="51">
        <v>0</v>
      </c>
      <c r="J18" s="51" t="s">
        <v>129</v>
      </c>
      <c r="K18" s="51" t="s">
        <v>129</v>
      </c>
      <c r="L18" s="51" t="s">
        <v>129</v>
      </c>
      <c r="M18" s="51" t="s">
        <v>129</v>
      </c>
      <c r="N18" s="51" t="s">
        <v>129</v>
      </c>
      <c r="O18" s="51" t="s">
        <v>129</v>
      </c>
      <c r="P18" s="51" t="s">
        <v>129</v>
      </c>
      <c r="Q18" s="51" t="s">
        <v>129</v>
      </c>
      <c r="R18" s="51" t="s">
        <v>129</v>
      </c>
      <c r="S18" s="51">
        <v>55</v>
      </c>
      <c r="T18" s="51" t="s">
        <v>129</v>
      </c>
      <c r="U18" s="51">
        <v>203</v>
      </c>
      <c r="V18" s="51" t="s">
        <v>129</v>
      </c>
      <c r="W18" s="51">
        <v>23</v>
      </c>
      <c r="X18" s="51" t="s">
        <v>129</v>
      </c>
      <c r="Y18" s="51">
        <v>1</v>
      </c>
      <c r="Z18" s="51" t="s">
        <v>129</v>
      </c>
      <c r="AA18" s="51" t="s">
        <v>129</v>
      </c>
      <c r="AB18" s="51" t="s">
        <v>129</v>
      </c>
      <c r="AC18" s="51" t="s">
        <v>129</v>
      </c>
      <c r="AD18" s="51" t="s">
        <v>129</v>
      </c>
      <c r="AE18" s="51" t="s">
        <v>129</v>
      </c>
      <c r="AF18" s="51" t="s">
        <v>129</v>
      </c>
      <c r="AG18" s="51" t="s">
        <v>129</v>
      </c>
      <c r="AH18" s="51" t="s">
        <v>129</v>
      </c>
      <c r="AI18" s="51">
        <v>125</v>
      </c>
      <c r="AJ18" s="51" t="s">
        <v>129</v>
      </c>
      <c r="AK18" s="51">
        <v>275</v>
      </c>
      <c r="AL18" s="51" t="s">
        <v>129</v>
      </c>
      <c r="AM18" s="51">
        <v>88</v>
      </c>
      <c r="AN18" s="51" t="s">
        <v>129</v>
      </c>
      <c r="AO18" s="51">
        <v>0</v>
      </c>
      <c r="AP18" s="51" t="s">
        <v>129</v>
      </c>
      <c r="AQ18" s="51" t="s">
        <v>129</v>
      </c>
      <c r="AR18" s="51" t="s">
        <v>129</v>
      </c>
      <c r="AS18" s="51" t="s">
        <v>129</v>
      </c>
      <c r="AT18" s="51" t="s">
        <v>129</v>
      </c>
      <c r="AU18" s="51" t="s">
        <v>129</v>
      </c>
      <c r="AV18" s="51" t="s">
        <v>129</v>
      </c>
      <c r="AW18" s="51" t="s">
        <v>129</v>
      </c>
      <c r="AX18" s="51" t="s">
        <v>129</v>
      </c>
      <c r="AY18" s="51">
        <v>13</v>
      </c>
      <c r="AZ18" s="51" t="s">
        <v>129</v>
      </c>
      <c r="BA18" s="51">
        <v>193</v>
      </c>
      <c r="BB18" s="51" t="s">
        <v>129</v>
      </c>
      <c r="BC18" s="51">
        <v>67</v>
      </c>
      <c r="BD18" s="51" t="s">
        <v>129</v>
      </c>
      <c r="BE18" s="51">
        <v>0</v>
      </c>
      <c r="BF18" s="51" t="s">
        <v>129</v>
      </c>
      <c r="BG18" s="51" t="s">
        <v>129</v>
      </c>
      <c r="BH18" s="51" t="s">
        <v>129</v>
      </c>
      <c r="BI18" s="51" t="s">
        <v>129</v>
      </c>
      <c r="BJ18" s="51" t="s">
        <v>129</v>
      </c>
      <c r="BK18" s="51" t="s">
        <v>129</v>
      </c>
      <c r="BL18" s="51" t="s">
        <v>129</v>
      </c>
      <c r="BM18" s="51" t="s">
        <v>129</v>
      </c>
    </row>
    <row r="19" spans="1:65" ht="15" customHeight="1" x14ac:dyDescent="0.2">
      <c r="A19" s="51" t="s">
        <v>141</v>
      </c>
      <c r="B19" s="51" t="s">
        <v>129</v>
      </c>
      <c r="C19" s="51">
        <v>68</v>
      </c>
      <c r="D19" s="51" t="s">
        <v>129</v>
      </c>
      <c r="E19" s="51">
        <v>225</v>
      </c>
      <c r="F19" s="51" t="s">
        <v>129</v>
      </c>
      <c r="G19" s="51">
        <v>25</v>
      </c>
      <c r="H19" s="51" t="s">
        <v>129</v>
      </c>
      <c r="I19" s="51">
        <v>0</v>
      </c>
      <c r="J19" s="51" t="s">
        <v>129</v>
      </c>
      <c r="K19" s="51" t="s">
        <v>129</v>
      </c>
      <c r="L19" s="51" t="s">
        <v>129</v>
      </c>
      <c r="M19" s="51" t="s">
        <v>129</v>
      </c>
      <c r="N19" s="51" t="s">
        <v>129</v>
      </c>
      <c r="O19" s="51" t="s">
        <v>129</v>
      </c>
      <c r="P19" s="51" t="s">
        <v>129</v>
      </c>
      <c r="Q19" s="51" t="s">
        <v>129</v>
      </c>
      <c r="R19" s="51" t="s">
        <v>129</v>
      </c>
      <c r="S19" s="51">
        <v>26</v>
      </c>
      <c r="T19" s="51" t="s">
        <v>129</v>
      </c>
      <c r="U19" s="51">
        <v>99</v>
      </c>
      <c r="V19" s="51" t="s">
        <v>129</v>
      </c>
      <c r="W19" s="51">
        <v>23</v>
      </c>
      <c r="X19" s="51" t="s">
        <v>129</v>
      </c>
      <c r="Y19" s="51">
        <v>1</v>
      </c>
      <c r="Z19" s="51" t="s">
        <v>129</v>
      </c>
      <c r="AA19" s="51" t="s">
        <v>129</v>
      </c>
      <c r="AB19" s="51" t="s">
        <v>129</v>
      </c>
      <c r="AC19" s="51" t="s">
        <v>129</v>
      </c>
      <c r="AD19" s="51" t="s">
        <v>129</v>
      </c>
      <c r="AE19" s="51" t="s">
        <v>129</v>
      </c>
      <c r="AF19" s="51" t="s">
        <v>129</v>
      </c>
      <c r="AG19" s="51" t="s">
        <v>129</v>
      </c>
      <c r="AH19" s="51" t="s">
        <v>129</v>
      </c>
      <c r="AI19" s="51">
        <v>142</v>
      </c>
      <c r="AJ19" s="51" t="s">
        <v>129</v>
      </c>
      <c r="AK19" s="51">
        <v>328</v>
      </c>
      <c r="AL19" s="51" t="s">
        <v>129</v>
      </c>
      <c r="AM19" s="51">
        <v>95</v>
      </c>
      <c r="AN19" s="51" t="s">
        <v>129</v>
      </c>
      <c r="AO19" s="51">
        <v>0</v>
      </c>
      <c r="AP19" s="51" t="s">
        <v>129</v>
      </c>
      <c r="AQ19" s="51" t="s">
        <v>129</v>
      </c>
      <c r="AR19" s="51" t="s">
        <v>129</v>
      </c>
      <c r="AS19" s="51" t="s">
        <v>129</v>
      </c>
      <c r="AT19" s="51" t="s">
        <v>129</v>
      </c>
      <c r="AU19" s="51" t="s">
        <v>129</v>
      </c>
      <c r="AV19" s="51" t="s">
        <v>129</v>
      </c>
      <c r="AW19" s="51" t="s">
        <v>129</v>
      </c>
      <c r="AX19" s="51" t="s">
        <v>129</v>
      </c>
      <c r="AY19" s="51">
        <v>10</v>
      </c>
      <c r="AZ19" s="51" t="s">
        <v>129</v>
      </c>
      <c r="BA19" s="51">
        <v>182</v>
      </c>
      <c r="BB19" s="51" t="s">
        <v>129</v>
      </c>
      <c r="BC19" s="51">
        <v>66</v>
      </c>
      <c r="BD19" s="51" t="s">
        <v>129</v>
      </c>
      <c r="BE19" s="51">
        <v>0</v>
      </c>
      <c r="BF19" s="51" t="s">
        <v>129</v>
      </c>
      <c r="BG19" s="51" t="s">
        <v>129</v>
      </c>
      <c r="BH19" s="51" t="s">
        <v>129</v>
      </c>
      <c r="BI19" s="51" t="s">
        <v>129</v>
      </c>
      <c r="BJ19" s="51" t="s">
        <v>129</v>
      </c>
      <c r="BK19" s="51" t="s">
        <v>129</v>
      </c>
      <c r="BL19" s="51" t="s">
        <v>129</v>
      </c>
      <c r="BM19" s="51" t="s">
        <v>129</v>
      </c>
    </row>
    <row r="20" spans="1:65" ht="15" customHeight="1" x14ac:dyDescent="0.2">
      <c r="A20" s="51" t="s">
        <v>140</v>
      </c>
      <c r="B20" s="51" t="s">
        <v>129</v>
      </c>
      <c r="C20" s="51">
        <v>53</v>
      </c>
      <c r="D20" s="51" t="s">
        <v>129</v>
      </c>
      <c r="E20" s="51">
        <v>251</v>
      </c>
      <c r="F20" s="51" t="s">
        <v>129</v>
      </c>
      <c r="G20" s="51">
        <v>15</v>
      </c>
      <c r="H20" s="51" t="s">
        <v>129</v>
      </c>
      <c r="I20" s="51">
        <v>0</v>
      </c>
      <c r="J20" s="51" t="s">
        <v>129</v>
      </c>
      <c r="K20" s="51" t="s">
        <v>129</v>
      </c>
      <c r="L20" s="51" t="s">
        <v>129</v>
      </c>
      <c r="M20" s="51" t="s">
        <v>129</v>
      </c>
      <c r="N20" s="51" t="s">
        <v>129</v>
      </c>
      <c r="O20" s="51" t="s">
        <v>129</v>
      </c>
      <c r="P20" s="51" t="s">
        <v>129</v>
      </c>
      <c r="Q20" s="51" t="s">
        <v>129</v>
      </c>
      <c r="R20" s="51" t="s">
        <v>129</v>
      </c>
      <c r="S20" s="51">
        <v>64</v>
      </c>
      <c r="T20" s="51" t="s">
        <v>129</v>
      </c>
      <c r="U20" s="51">
        <v>138</v>
      </c>
      <c r="V20" s="51" t="s">
        <v>129</v>
      </c>
      <c r="W20" s="51">
        <v>29</v>
      </c>
      <c r="X20" s="51" t="s">
        <v>129</v>
      </c>
      <c r="Y20" s="51">
        <v>1</v>
      </c>
      <c r="Z20" s="51" t="s">
        <v>129</v>
      </c>
      <c r="AA20" s="51" t="s">
        <v>129</v>
      </c>
      <c r="AB20" s="51" t="s">
        <v>129</v>
      </c>
      <c r="AC20" s="51" t="s">
        <v>129</v>
      </c>
      <c r="AD20" s="51" t="s">
        <v>129</v>
      </c>
      <c r="AE20" s="51" t="s">
        <v>129</v>
      </c>
      <c r="AF20" s="51" t="s">
        <v>129</v>
      </c>
      <c r="AG20" s="51" t="s">
        <v>129</v>
      </c>
      <c r="AH20" s="51" t="s">
        <v>129</v>
      </c>
      <c r="AI20" s="51">
        <v>132</v>
      </c>
      <c r="AJ20" s="51" t="s">
        <v>129</v>
      </c>
      <c r="AK20" s="51">
        <v>334</v>
      </c>
      <c r="AL20" s="51" t="s">
        <v>129</v>
      </c>
      <c r="AM20" s="51">
        <v>83</v>
      </c>
      <c r="AN20" s="51" t="s">
        <v>129</v>
      </c>
      <c r="AO20" s="51">
        <v>0</v>
      </c>
      <c r="AP20" s="51" t="s">
        <v>129</v>
      </c>
      <c r="AQ20" s="51" t="s">
        <v>129</v>
      </c>
      <c r="AR20" s="51" t="s">
        <v>129</v>
      </c>
      <c r="AS20" s="51" t="s">
        <v>129</v>
      </c>
      <c r="AT20" s="51" t="s">
        <v>129</v>
      </c>
      <c r="AU20" s="51" t="s">
        <v>129</v>
      </c>
      <c r="AV20" s="51" t="s">
        <v>129</v>
      </c>
      <c r="AW20" s="51" t="s">
        <v>129</v>
      </c>
      <c r="AX20" s="51" t="s">
        <v>129</v>
      </c>
      <c r="AY20" s="51">
        <v>16</v>
      </c>
      <c r="AZ20" s="51" t="s">
        <v>129</v>
      </c>
      <c r="BA20" s="51">
        <v>185</v>
      </c>
      <c r="BB20" s="51" t="s">
        <v>129</v>
      </c>
      <c r="BC20" s="51">
        <v>91</v>
      </c>
      <c r="BD20" s="51" t="s">
        <v>129</v>
      </c>
      <c r="BE20" s="51">
        <v>1</v>
      </c>
      <c r="BF20" s="51" t="s">
        <v>129</v>
      </c>
      <c r="BG20" s="51" t="s">
        <v>129</v>
      </c>
      <c r="BH20" s="51" t="s">
        <v>129</v>
      </c>
      <c r="BI20" s="51" t="s">
        <v>129</v>
      </c>
      <c r="BJ20" s="51" t="s">
        <v>129</v>
      </c>
      <c r="BK20" s="51" t="s">
        <v>129</v>
      </c>
      <c r="BL20" s="51" t="s">
        <v>129</v>
      </c>
      <c r="BM20" s="51" t="s">
        <v>129</v>
      </c>
    </row>
    <row r="21" spans="1:65" ht="15" customHeight="1" x14ac:dyDescent="0.2">
      <c r="A21" s="51" t="s">
        <v>139</v>
      </c>
      <c r="B21" s="51" t="s">
        <v>129</v>
      </c>
      <c r="C21" s="51">
        <v>55</v>
      </c>
      <c r="D21" s="51" t="s">
        <v>129</v>
      </c>
      <c r="E21" s="51">
        <v>258</v>
      </c>
      <c r="F21" s="51" t="s">
        <v>129</v>
      </c>
      <c r="G21" s="51">
        <v>16</v>
      </c>
      <c r="H21" s="51" t="s">
        <v>129</v>
      </c>
      <c r="I21" s="51">
        <v>0</v>
      </c>
      <c r="J21" s="51" t="s">
        <v>129</v>
      </c>
      <c r="K21" s="51" t="s">
        <v>129</v>
      </c>
      <c r="L21" s="51" t="s">
        <v>129</v>
      </c>
      <c r="M21" s="51" t="s">
        <v>129</v>
      </c>
      <c r="N21" s="51" t="s">
        <v>129</v>
      </c>
      <c r="O21" s="51" t="s">
        <v>129</v>
      </c>
      <c r="P21" s="51" t="s">
        <v>129</v>
      </c>
      <c r="Q21" s="51" t="s">
        <v>129</v>
      </c>
      <c r="R21" s="51" t="s">
        <v>129</v>
      </c>
      <c r="S21" s="51">
        <v>77</v>
      </c>
      <c r="T21" s="51" t="s">
        <v>129</v>
      </c>
      <c r="U21" s="51">
        <v>136</v>
      </c>
      <c r="V21" s="51" t="s">
        <v>129</v>
      </c>
      <c r="W21" s="51">
        <v>45</v>
      </c>
      <c r="X21" s="51" t="s">
        <v>129</v>
      </c>
      <c r="Y21" s="51">
        <v>0</v>
      </c>
      <c r="Z21" s="51" t="s">
        <v>129</v>
      </c>
      <c r="AA21" s="51" t="s">
        <v>129</v>
      </c>
      <c r="AB21" s="51" t="s">
        <v>129</v>
      </c>
      <c r="AC21" s="51" t="s">
        <v>129</v>
      </c>
      <c r="AD21" s="51" t="s">
        <v>129</v>
      </c>
      <c r="AE21" s="51" t="s">
        <v>129</v>
      </c>
      <c r="AF21" s="51" t="s">
        <v>129</v>
      </c>
      <c r="AG21" s="51" t="s">
        <v>129</v>
      </c>
      <c r="AH21" s="51" t="s">
        <v>129</v>
      </c>
      <c r="AI21" s="51">
        <v>122</v>
      </c>
      <c r="AJ21" s="51" t="s">
        <v>129</v>
      </c>
      <c r="AK21" s="51">
        <v>319</v>
      </c>
      <c r="AL21" s="51" t="s">
        <v>129</v>
      </c>
      <c r="AM21" s="51">
        <v>92</v>
      </c>
      <c r="AN21" s="51" t="s">
        <v>129</v>
      </c>
      <c r="AO21" s="51">
        <v>0</v>
      </c>
      <c r="AP21" s="51" t="s">
        <v>129</v>
      </c>
      <c r="AQ21" s="51" t="s">
        <v>129</v>
      </c>
      <c r="AR21" s="51" t="s">
        <v>129</v>
      </c>
      <c r="AS21" s="51" t="s">
        <v>129</v>
      </c>
      <c r="AT21" s="51" t="s">
        <v>129</v>
      </c>
      <c r="AU21" s="51" t="s">
        <v>129</v>
      </c>
      <c r="AV21" s="51" t="s">
        <v>129</v>
      </c>
      <c r="AW21" s="51" t="s">
        <v>129</v>
      </c>
      <c r="AX21" s="51" t="s">
        <v>129</v>
      </c>
      <c r="AY21" s="51">
        <v>19</v>
      </c>
      <c r="AZ21" s="51" t="s">
        <v>129</v>
      </c>
      <c r="BA21" s="51">
        <v>186</v>
      </c>
      <c r="BB21" s="51" t="s">
        <v>129</v>
      </c>
      <c r="BC21" s="51">
        <v>74</v>
      </c>
      <c r="BD21" s="51" t="s">
        <v>129</v>
      </c>
      <c r="BE21" s="51">
        <v>0</v>
      </c>
      <c r="BF21" s="51" t="s">
        <v>129</v>
      </c>
      <c r="BG21" s="51" t="s">
        <v>129</v>
      </c>
      <c r="BH21" s="51" t="s">
        <v>129</v>
      </c>
      <c r="BI21" s="51" t="s">
        <v>129</v>
      </c>
      <c r="BJ21" s="51" t="s">
        <v>129</v>
      </c>
      <c r="BK21" s="51" t="s">
        <v>129</v>
      </c>
      <c r="BL21" s="51" t="s">
        <v>129</v>
      </c>
      <c r="BM21" s="51" t="s">
        <v>129</v>
      </c>
    </row>
    <row r="22" spans="1:65" ht="15" customHeight="1" x14ac:dyDescent="0.2">
      <c r="A22" s="51" t="s">
        <v>138</v>
      </c>
      <c r="B22" s="51" t="s">
        <v>129</v>
      </c>
      <c r="C22" s="51">
        <v>49</v>
      </c>
      <c r="D22" s="51" t="s">
        <v>129</v>
      </c>
      <c r="E22" s="51">
        <v>205</v>
      </c>
      <c r="F22" s="51" t="s">
        <v>129</v>
      </c>
      <c r="G22" s="51">
        <v>12</v>
      </c>
      <c r="H22" s="51" t="s">
        <v>129</v>
      </c>
      <c r="I22" s="51">
        <v>0</v>
      </c>
      <c r="J22" s="51" t="s">
        <v>129</v>
      </c>
      <c r="K22" s="51" t="s">
        <v>129</v>
      </c>
      <c r="L22" s="51" t="s">
        <v>129</v>
      </c>
      <c r="M22" s="51" t="s">
        <v>129</v>
      </c>
      <c r="N22" s="51" t="s">
        <v>129</v>
      </c>
      <c r="O22" s="51" t="s">
        <v>129</v>
      </c>
      <c r="P22" s="51" t="s">
        <v>129</v>
      </c>
      <c r="Q22" s="51" t="s">
        <v>129</v>
      </c>
      <c r="R22" s="51" t="s">
        <v>129</v>
      </c>
      <c r="S22" s="51">
        <v>63</v>
      </c>
      <c r="T22" s="51" t="s">
        <v>129</v>
      </c>
      <c r="U22" s="51">
        <v>162</v>
      </c>
      <c r="V22" s="51" t="s">
        <v>129</v>
      </c>
      <c r="W22" s="51">
        <v>42</v>
      </c>
      <c r="X22" s="51" t="s">
        <v>129</v>
      </c>
      <c r="Y22" s="51">
        <v>0</v>
      </c>
      <c r="Z22" s="51" t="s">
        <v>129</v>
      </c>
      <c r="AA22" s="51" t="s">
        <v>129</v>
      </c>
      <c r="AB22" s="51" t="s">
        <v>129</v>
      </c>
      <c r="AC22" s="51" t="s">
        <v>129</v>
      </c>
      <c r="AD22" s="51" t="s">
        <v>129</v>
      </c>
      <c r="AE22" s="51" t="s">
        <v>129</v>
      </c>
      <c r="AF22" s="51" t="s">
        <v>129</v>
      </c>
      <c r="AG22" s="51" t="s">
        <v>129</v>
      </c>
      <c r="AH22" s="51" t="s">
        <v>129</v>
      </c>
      <c r="AI22" s="51">
        <v>114</v>
      </c>
      <c r="AJ22" s="51" t="s">
        <v>129</v>
      </c>
      <c r="AK22" s="51">
        <v>263</v>
      </c>
      <c r="AL22" s="51" t="s">
        <v>129</v>
      </c>
      <c r="AM22" s="51">
        <v>79</v>
      </c>
      <c r="AN22" s="51" t="s">
        <v>129</v>
      </c>
      <c r="AO22" s="51">
        <v>0</v>
      </c>
      <c r="AP22" s="51" t="s">
        <v>129</v>
      </c>
      <c r="AQ22" s="51" t="s">
        <v>129</v>
      </c>
      <c r="AR22" s="51" t="s">
        <v>129</v>
      </c>
      <c r="AS22" s="51" t="s">
        <v>129</v>
      </c>
      <c r="AT22" s="51" t="s">
        <v>129</v>
      </c>
      <c r="AU22" s="51" t="s">
        <v>129</v>
      </c>
      <c r="AV22" s="51" t="s">
        <v>129</v>
      </c>
      <c r="AW22" s="51" t="s">
        <v>129</v>
      </c>
      <c r="AX22" s="51" t="s">
        <v>129</v>
      </c>
      <c r="AY22" s="51">
        <v>12</v>
      </c>
      <c r="AZ22" s="51" t="s">
        <v>129</v>
      </c>
      <c r="BA22" s="51">
        <v>156</v>
      </c>
      <c r="BB22" s="51" t="s">
        <v>129</v>
      </c>
      <c r="BC22" s="51">
        <v>82</v>
      </c>
      <c r="BD22" s="51" t="s">
        <v>129</v>
      </c>
      <c r="BE22" s="51">
        <v>0</v>
      </c>
      <c r="BF22" s="51" t="s">
        <v>129</v>
      </c>
      <c r="BG22" s="51" t="s">
        <v>129</v>
      </c>
      <c r="BH22" s="51" t="s">
        <v>129</v>
      </c>
      <c r="BI22" s="51" t="s">
        <v>129</v>
      </c>
      <c r="BJ22" s="51" t="s">
        <v>129</v>
      </c>
      <c r="BK22" s="51" t="s">
        <v>129</v>
      </c>
      <c r="BL22" s="51" t="s">
        <v>129</v>
      </c>
      <c r="BM22" s="51" t="s">
        <v>129</v>
      </c>
    </row>
    <row r="23" spans="1:65" ht="15" customHeight="1" x14ac:dyDescent="0.2">
      <c r="A23" s="52">
        <v>0.54166666666666663</v>
      </c>
      <c r="C23" s="51">
        <v>33</v>
      </c>
      <c r="E23" s="51">
        <v>229</v>
      </c>
      <c r="G23" s="51">
        <v>20</v>
      </c>
      <c r="I23" s="51">
        <v>0</v>
      </c>
      <c r="S23" s="51">
        <v>68</v>
      </c>
      <c r="U23" s="51">
        <v>187</v>
      </c>
      <c r="W23" s="51">
        <v>48</v>
      </c>
      <c r="Y23" s="51">
        <v>0</v>
      </c>
      <c r="AI23" s="51">
        <v>95</v>
      </c>
      <c r="AK23" s="51">
        <v>248</v>
      </c>
      <c r="AM23" s="51">
        <v>61</v>
      </c>
      <c r="AO23" s="51">
        <v>0</v>
      </c>
      <c r="AY23" s="51">
        <v>17</v>
      </c>
      <c r="BA23" s="51">
        <v>171</v>
      </c>
      <c r="BC23" s="51">
        <v>88</v>
      </c>
      <c r="BE23" s="51">
        <v>0</v>
      </c>
    </row>
    <row r="24" spans="1:65" ht="15" customHeight="1" x14ac:dyDescent="0.2">
      <c r="A24" s="52">
        <v>0.55208333333333337</v>
      </c>
      <c r="C24" s="51">
        <v>31</v>
      </c>
      <c r="E24" s="51">
        <v>227</v>
      </c>
      <c r="G24" s="51">
        <v>11</v>
      </c>
      <c r="I24" s="51">
        <v>0</v>
      </c>
      <c r="S24" s="51">
        <v>88</v>
      </c>
      <c r="U24" s="51">
        <v>197</v>
      </c>
      <c r="W24" s="51">
        <v>55</v>
      </c>
      <c r="Y24" s="51">
        <v>0</v>
      </c>
      <c r="AI24" s="51">
        <v>96</v>
      </c>
      <c r="AK24" s="51">
        <v>216</v>
      </c>
      <c r="AM24" s="51">
        <v>66</v>
      </c>
      <c r="AO24" s="51">
        <v>0</v>
      </c>
      <c r="AY24" s="51">
        <v>16</v>
      </c>
      <c r="BA24" s="51">
        <v>150</v>
      </c>
      <c r="BC24" s="51">
        <v>87</v>
      </c>
      <c r="BE24" s="51">
        <v>1</v>
      </c>
    </row>
    <row r="25" spans="1:65" ht="15" customHeight="1" x14ac:dyDescent="0.2">
      <c r="A25" s="52">
        <v>0.5625</v>
      </c>
      <c r="C25" s="51">
        <v>28</v>
      </c>
      <c r="E25" s="51">
        <v>273</v>
      </c>
      <c r="G25" s="51">
        <v>13</v>
      </c>
      <c r="I25" s="51">
        <v>0</v>
      </c>
      <c r="S25" s="51">
        <v>80</v>
      </c>
      <c r="U25" s="51">
        <v>192</v>
      </c>
      <c r="W25" s="51">
        <v>56</v>
      </c>
      <c r="Y25" s="51">
        <v>0</v>
      </c>
      <c r="AI25" s="51">
        <v>96</v>
      </c>
      <c r="AK25" s="51">
        <v>276</v>
      </c>
      <c r="AM25" s="51">
        <v>53</v>
      </c>
      <c r="AO25" s="51">
        <v>1</v>
      </c>
      <c r="AY25" s="51">
        <v>16</v>
      </c>
      <c r="BA25" s="51">
        <v>181</v>
      </c>
      <c r="BC25" s="51">
        <v>89</v>
      </c>
      <c r="BE25" s="51">
        <v>0</v>
      </c>
    </row>
    <row r="26" spans="1:65" ht="15" customHeight="1" x14ac:dyDescent="0.2">
      <c r="A26" s="52">
        <v>0.57291666666666663</v>
      </c>
      <c r="C26" s="51">
        <v>30</v>
      </c>
      <c r="E26" s="51">
        <v>209</v>
      </c>
      <c r="G26" s="51">
        <v>19</v>
      </c>
      <c r="I26" s="51">
        <v>0</v>
      </c>
      <c r="S26" s="51">
        <v>94</v>
      </c>
      <c r="U26" s="51">
        <v>237</v>
      </c>
      <c r="W26" s="51">
        <v>54</v>
      </c>
      <c r="Y26" s="51">
        <v>0</v>
      </c>
      <c r="AI26" s="51">
        <v>86</v>
      </c>
      <c r="AK26" s="51">
        <v>259</v>
      </c>
      <c r="AM26" s="51">
        <v>51</v>
      </c>
      <c r="AO26" s="51">
        <v>1</v>
      </c>
      <c r="AY26" s="51">
        <v>20</v>
      </c>
      <c r="BA26" s="51">
        <v>186</v>
      </c>
      <c r="BC26" s="51">
        <v>92</v>
      </c>
      <c r="BE26" s="51">
        <v>1</v>
      </c>
    </row>
    <row r="27" spans="1:65" ht="15" customHeight="1" x14ac:dyDescent="0.2">
      <c r="A27" s="51" t="s">
        <v>137</v>
      </c>
      <c r="B27" s="51" t="s">
        <v>129</v>
      </c>
      <c r="C27" s="51">
        <v>28</v>
      </c>
      <c r="D27" s="51" t="s">
        <v>129</v>
      </c>
      <c r="E27" s="51">
        <v>243</v>
      </c>
      <c r="F27" s="51" t="s">
        <v>129</v>
      </c>
      <c r="G27" s="51">
        <v>18</v>
      </c>
      <c r="H27" s="51" t="s">
        <v>129</v>
      </c>
      <c r="I27" s="51">
        <v>0</v>
      </c>
      <c r="J27" s="51" t="s">
        <v>129</v>
      </c>
      <c r="K27" s="51" t="s">
        <v>129</v>
      </c>
      <c r="L27" s="51" t="s">
        <v>129</v>
      </c>
      <c r="M27" s="51" t="s">
        <v>129</v>
      </c>
      <c r="N27" s="51" t="s">
        <v>129</v>
      </c>
      <c r="O27" s="51" t="s">
        <v>129</v>
      </c>
      <c r="P27" s="51" t="s">
        <v>129</v>
      </c>
      <c r="Q27" s="51" t="s">
        <v>129</v>
      </c>
      <c r="R27" s="51" t="s">
        <v>129</v>
      </c>
      <c r="S27" s="51">
        <v>63</v>
      </c>
      <c r="T27" s="51" t="s">
        <v>129</v>
      </c>
      <c r="U27" s="51">
        <v>181</v>
      </c>
      <c r="V27" s="51" t="s">
        <v>129</v>
      </c>
      <c r="W27" s="51">
        <v>62</v>
      </c>
      <c r="X27" s="51" t="s">
        <v>129</v>
      </c>
      <c r="Y27" s="51">
        <v>0</v>
      </c>
      <c r="Z27" s="51" t="s">
        <v>129</v>
      </c>
      <c r="AA27" s="51" t="s">
        <v>129</v>
      </c>
      <c r="AB27" s="51" t="s">
        <v>129</v>
      </c>
      <c r="AC27" s="51" t="s">
        <v>129</v>
      </c>
      <c r="AD27" s="51" t="s">
        <v>129</v>
      </c>
      <c r="AE27" s="51" t="s">
        <v>129</v>
      </c>
      <c r="AF27" s="51" t="s">
        <v>129</v>
      </c>
      <c r="AG27" s="51" t="s">
        <v>129</v>
      </c>
      <c r="AH27" s="51" t="s">
        <v>129</v>
      </c>
      <c r="AI27" s="51">
        <v>79</v>
      </c>
      <c r="AJ27" s="51" t="s">
        <v>129</v>
      </c>
      <c r="AK27" s="51">
        <v>341</v>
      </c>
      <c r="AL27" s="51" t="s">
        <v>129</v>
      </c>
      <c r="AM27" s="51">
        <v>55</v>
      </c>
      <c r="AN27" s="51" t="s">
        <v>129</v>
      </c>
      <c r="AO27" s="51">
        <v>0</v>
      </c>
      <c r="AP27" s="51" t="s">
        <v>129</v>
      </c>
      <c r="AQ27" s="51" t="s">
        <v>129</v>
      </c>
      <c r="AR27" s="51" t="s">
        <v>129</v>
      </c>
      <c r="AS27" s="51" t="s">
        <v>129</v>
      </c>
      <c r="AT27" s="51" t="s">
        <v>129</v>
      </c>
      <c r="AU27" s="51" t="s">
        <v>129</v>
      </c>
      <c r="AV27" s="51" t="s">
        <v>129</v>
      </c>
      <c r="AW27" s="51" t="s">
        <v>129</v>
      </c>
      <c r="AX27" s="51" t="s">
        <v>129</v>
      </c>
      <c r="AY27" s="51">
        <v>18</v>
      </c>
      <c r="AZ27" s="51" t="s">
        <v>129</v>
      </c>
      <c r="BA27" s="51">
        <v>165</v>
      </c>
      <c r="BB27" s="51" t="s">
        <v>129</v>
      </c>
      <c r="BC27" s="51">
        <v>110</v>
      </c>
      <c r="BD27" s="51" t="s">
        <v>129</v>
      </c>
      <c r="BE27" s="51">
        <v>0</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25</v>
      </c>
      <c r="D28" s="51" t="s">
        <v>129</v>
      </c>
      <c r="E28" s="51">
        <v>271</v>
      </c>
      <c r="F28" s="51" t="s">
        <v>129</v>
      </c>
      <c r="G28" s="51">
        <v>13</v>
      </c>
      <c r="H28" s="51" t="s">
        <v>129</v>
      </c>
      <c r="I28" s="51">
        <v>2</v>
      </c>
      <c r="J28" s="51" t="s">
        <v>129</v>
      </c>
      <c r="K28" s="51" t="s">
        <v>129</v>
      </c>
      <c r="L28" s="51" t="s">
        <v>129</v>
      </c>
      <c r="M28" s="51" t="s">
        <v>129</v>
      </c>
      <c r="N28" s="51" t="s">
        <v>129</v>
      </c>
      <c r="O28" s="51" t="s">
        <v>129</v>
      </c>
      <c r="P28" s="51" t="s">
        <v>129</v>
      </c>
      <c r="Q28" s="51" t="s">
        <v>129</v>
      </c>
      <c r="R28" s="51" t="s">
        <v>129</v>
      </c>
      <c r="S28" s="51">
        <v>74</v>
      </c>
      <c r="T28" s="51" t="s">
        <v>129</v>
      </c>
      <c r="U28" s="51">
        <v>203</v>
      </c>
      <c r="V28" s="51" t="s">
        <v>129</v>
      </c>
      <c r="W28" s="51">
        <v>65</v>
      </c>
      <c r="X28" s="51" t="s">
        <v>129</v>
      </c>
      <c r="Y28" s="51">
        <v>0</v>
      </c>
      <c r="Z28" s="51" t="s">
        <v>129</v>
      </c>
      <c r="AA28" s="51" t="s">
        <v>129</v>
      </c>
      <c r="AB28" s="51" t="s">
        <v>129</v>
      </c>
      <c r="AC28" s="51" t="s">
        <v>129</v>
      </c>
      <c r="AD28" s="51" t="s">
        <v>129</v>
      </c>
      <c r="AE28" s="51" t="s">
        <v>129</v>
      </c>
      <c r="AF28" s="51" t="s">
        <v>129</v>
      </c>
      <c r="AG28" s="51" t="s">
        <v>129</v>
      </c>
      <c r="AH28" s="51" t="s">
        <v>129</v>
      </c>
      <c r="AI28" s="51">
        <v>107</v>
      </c>
      <c r="AJ28" s="51" t="s">
        <v>129</v>
      </c>
      <c r="AK28" s="51">
        <v>318</v>
      </c>
      <c r="AL28" s="51" t="s">
        <v>129</v>
      </c>
      <c r="AM28" s="51">
        <v>58</v>
      </c>
      <c r="AN28" s="51" t="s">
        <v>129</v>
      </c>
      <c r="AO28" s="51">
        <v>0</v>
      </c>
      <c r="AP28" s="51" t="s">
        <v>129</v>
      </c>
      <c r="AQ28" s="51" t="s">
        <v>129</v>
      </c>
      <c r="AR28" s="51" t="s">
        <v>129</v>
      </c>
      <c r="AS28" s="51" t="s">
        <v>129</v>
      </c>
      <c r="AT28" s="51" t="s">
        <v>129</v>
      </c>
      <c r="AU28" s="51" t="s">
        <v>129</v>
      </c>
      <c r="AV28" s="51" t="s">
        <v>129</v>
      </c>
      <c r="AW28" s="51" t="s">
        <v>129</v>
      </c>
      <c r="AX28" s="51" t="s">
        <v>129</v>
      </c>
      <c r="AY28" s="51">
        <v>21</v>
      </c>
      <c r="AZ28" s="51" t="s">
        <v>129</v>
      </c>
      <c r="BA28" s="51">
        <v>166</v>
      </c>
      <c r="BB28" s="51" t="s">
        <v>129</v>
      </c>
      <c r="BC28" s="51">
        <v>122</v>
      </c>
      <c r="BD28" s="51" t="s">
        <v>129</v>
      </c>
      <c r="BE28" s="51">
        <v>0</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31</v>
      </c>
      <c r="D29" s="51" t="s">
        <v>129</v>
      </c>
      <c r="E29" s="51">
        <v>208</v>
      </c>
      <c r="F29" s="51" t="s">
        <v>129</v>
      </c>
      <c r="G29" s="51">
        <v>14</v>
      </c>
      <c r="H29" s="51" t="s">
        <v>129</v>
      </c>
      <c r="I29" s="51">
        <v>0</v>
      </c>
      <c r="J29" s="51" t="s">
        <v>129</v>
      </c>
      <c r="K29" s="51" t="s">
        <v>129</v>
      </c>
      <c r="L29" s="51" t="s">
        <v>129</v>
      </c>
      <c r="M29" s="51" t="s">
        <v>129</v>
      </c>
      <c r="N29" s="51" t="s">
        <v>129</v>
      </c>
      <c r="O29" s="51" t="s">
        <v>129</v>
      </c>
      <c r="P29" s="51" t="s">
        <v>129</v>
      </c>
      <c r="Q29" s="51" t="s">
        <v>129</v>
      </c>
      <c r="R29" s="51" t="s">
        <v>129</v>
      </c>
      <c r="S29" s="51">
        <v>81</v>
      </c>
      <c r="T29" s="51" t="s">
        <v>129</v>
      </c>
      <c r="U29" s="51">
        <v>176</v>
      </c>
      <c r="V29" s="51" t="s">
        <v>129</v>
      </c>
      <c r="W29" s="51">
        <v>59</v>
      </c>
      <c r="X29" s="51" t="s">
        <v>129</v>
      </c>
      <c r="Y29" s="51">
        <v>1</v>
      </c>
      <c r="Z29" s="51" t="s">
        <v>129</v>
      </c>
      <c r="AA29" s="51" t="s">
        <v>129</v>
      </c>
      <c r="AB29" s="51" t="s">
        <v>129</v>
      </c>
      <c r="AC29" s="51" t="s">
        <v>129</v>
      </c>
      <c r="AD29" s="51" t="s">
        <v>129</v>
      </c>
      <c r="AE29" s="51" t="s">
        <v>129</v>
      </c>
      <c r="AF29" s="51" t="s">
        <v>129</v>
      </c>
      <c r="AG29" s="51" t="s">
        <v>129</v>
      </c>
      <c r="AH29" s="51" t="s">
        <v>129</v>
      </c>
      <c r="AI29" s="51">
        <v>87</v>
      </c>
      <c r="AJ29" s="51" t="s">
        <v>129</v>
      </c>
      <c r="AK29" s="51">
        <v>310</v>
      </c>
      <c r="AL29" s="51" t="s">
        <v>129</v>
      </c>
      <c r="AM29" s="51">
        <v>63</v>
      </c>
      <c r="AN29" s="51" t="s">
        <v>129</v>
      </c>
      <c r="AO29" s="51">
        <v>0</v>
      </c>
      <c r="AP29" s="51" t="s">
        <v>129</v>
      </c>
      <c r="AQ29" s="51" t="s">
        <v>129</v>
      </c>
      <c r="AR29" s="51" t="s">
        <v>129</v>
      </c>
      <c r="AS29" s="51" t="s">
        <v>129</v>
      </c>
      <c r="AT29" s="51" t="s">
        <v>129</v>
      </c>
      <c r="AU29" s="51" t="s">
        <v>129</v>
      </c>
      <c r="AV29" s="51" t="s">
        <v>129</v>
      </c>
      <c r="AW29" s="51" t="s">
        <v>129</v>
      </c>
      <c r="AX29" s="51" t="s">
        <v>129</v>
      </c>
      <c r="AY29" s="51">
        <v>31</v>
      </c>
      <c r="AZ29" s="51" t="s">
        <v>129</v>
      </c>
      <c r="BA29" s="51">
        <v>186</v>
      </c>
      <c r="BB29" s="51" t="s">
        <v>129</v>
      </c>
      <c r="BC29" s="51">
        <v>119</v>
      </c>
      <c r="BD29" s="51" t="s">
        <v>129</v>
      </c>
      <c r="BE29" s="51">
        <v>0</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22</v>
      </c>
      <c r="D30" s="51" t="s">
        <v>129</v>
      </c>
      <c r="E30" s="51">
        <v>272</v>
      </c>
      <c r="F30" s="51" t="s">
        <v>129</v>
      </c>
      <c r="G30" s="51">
        <v>9</v>
      </c>
      <c r="H30" s="51" t="s">
        <v>129</v>
      </c>
      <c r="I30" s="51">
        <v>0</v>
      </c>
      <c r="J30" s="51" t="s">
        <v>129</v>
      </c>
      <c r="K30" s="51" t="s">
        <v>129</v>
      </c>
      <c r="L30" s="51" t="s">
        <v>129</v>
      </c>
      <c r="M30" s="51" t="s">
        <v>129</v>
      </c>
      <c r="N30" s="51" t="s">
        <v>129</v>
      </c>
      <c r="O30" s="51" t="s">
        <v>129</v>
      </c>
      <c r="P30" s="51" t="s">
        <v>129</v>
      </c>
      <c r="Q30" s="51" t="s">
        <v>129</v>
      </c>
      <c r="R30" s="51" t="s">
        <v>129</v>
      </c>
      <c r="S30" s="51">
        <v>72</v>
      </c>
      <c r="T30" s="51" t="s">
        <v>129</v>
      </c>
      <c r="U30" s="51">
        <v>223</v>
      </c>
      <c r="V30" s="51" t="s">
        <v>129</v>
      </c>
      <c r="W30" s="51">
        <v>59</v>
      </c>
      <c r="X30" s="51" t="s">
        <v>129</v>
      </c>
      <c r="Y30" s="51">
        <v>0</v>
      </c>
      <c r="Z30" s="51" t="s">
        <v>129</v>
      </c>
      <c r="AA30" s="51" t="s">
        <v>129</v>
      </c>
      <c r="AB30" s="51" t="s">
        <v>129</v>
      </c>
      <c r="AC30" s="51" t="s">
        <v>129</v>
      </c>
      <c r="AD30" s="51" t="s">
        <v>129</v>
      </c>
      <c r="AE30" s="51" t="s">
        <v>129</v>
      </c>
      <c r="AF30" s="51" t="s">
        <v>129</v>
      </c>
      <c r="AG30" s="51" t="s">
        <v>129</v>
      </c>
      <c r="AH30" s="51" t="s">
        <v>129</v>
      </c>
      <c r="AI30" s="51">
        <v>75</v>
      </c>
      <c r="AJ30" s="51" t="s">
        <v>129</v>
      </c>
      <c r="AK30" s="51">
        <v>300</v>
      </c>
      <c r="AL30" s="51" t="s">
        <v>129</v>
      </c>
      <c r="AM30" s="51">
        <v>46</v>
      </c>
      <c r="AN30" s="51" t="s">
        <v>129</v>
      </c>
      <c r="AO30" s="51">
        <v>0</v>
      </c>
      <c r="AP30" s="51" t="s">
        <v>129</v>
      </c>
      <c r="AQ30" s="51" t="s">
        <v>129</v>
      </c>
      <c r="AR30" s="51" t="s">
        <v>129</v>
      </c>
      <c r="AS30" s="51" t="s">
        <v>129</v>
      </c>
      <c r="AT30" s="51" t="s">
        <v>129</v>
      </c>
      <c r="AU30" s="51" t="s">
        <v>129</v>
      </c>
      <c r="AV30" s="51" t="s">
        <v>129</v>
      </c>
      <c r="AW30" s="51" t="s">
        <v>129</v>
      </c>
      <c r="AX30" s="51" t="s">
        <v>129</v>
      </c>
      <c r="AY30" s="51">
        <v>21</v>
      </c>
      <c r="AZ30" s="51" t="s">
        <v>129</v>
      </c>
      <c r="BA30" s="51">
        <v>208</v>
      </c>
      <c r="BB30" s="51" t="s">
        <v>129</v>
      </c>
      <c r="BC30" s="51">
        <v>122</v>
      </c>
      <c r="BD30" s="51" t="s">
        <v>129</v>
      </c>
      <c r="BE30" s="51">
        <v>0</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29</v>
      </c>
      <c r="D31" s="51" t="s">
        <v>129</v>
      </c>
      <c r="E31" s="51">
        <v>255</v>
      </c>
      <c r="F31" s="51" t="s">
        <v>129</v>
      </c>
      <c r="G31" s="51">
        <v>11</v>
      </c>
      <c r="H31" s="51" t="s">
        <v>129</v>
      </c>
      <c r="I31" s="51">
        <v>0</v>
      </c>
      <c r="J31" s="51" t="s">
        <v>129</v>
      </c>
      <c r="K31" s="51" t="s">
        <v>129</v>
      </c>
      <c r="L31" s="51" t="s">
        <v>129</v>
      </c>
      <c r="M31" s="51" t="s">
        <v>129</v>
      </c>
      <c r="N31" s="51" t="s">
        <v>129</v>
      </c>
      <c r="O31" s="51" t="s">
        <v>129</v>
      </c>
      <c r="P31" s="51" t="s">
        <v>129</v>
      </c>
      <c r="Q31" s="51" t="s">
        <v>129</v>
      </c>
      <c r="R31" s="51" t="s">
        <v>129</v>
      </c>
      <c r="S31" s="51">
        <v>86</v>
      </c>
      <c r="T31" s="51" t="s">
        <v>129</v>
      </c>
      <c r="U31" s="51">
        <v>184</v>
      </c>
      <c r="V31" s="51" t="s">
        <v>129</v>
      </c>
      <c r="W31" s="51">
        <v>73</v>
      </c>
      <c r="X31" s="51" t="s">
        <v>129</v>
      </c>
      <c r="Y31" s="51">
        <v>0</v>
      </c>
      <c r="Z31" s="51" t="s">
        <v>129</v>
      </c>
      <c r="AA31" s="51" t="s">
        <v>129</v>
      </c>
      <c r="AB31" s="51" t="s">
        <v>129</v>
      </c>
      <c r="AC31" s="51" t="s">
        <v>129</v>
      </c>
      <c r="AD31" s="51" t="s">
        <v>129</v>
      </c>
      <c r="AE31" s="51" t="s">
        <v>129</v>
      </c>
      <c r="AF31" s="51" t="s">
        <v>129</v>
      </c>
      <c r="AG31" s="51" t="s">
        <v>129</v>
      </c>
      <c r="AH31" s="51" t="s">
        <v>129</v>
      </c>
      <c r="AI31" s="51">
        <v>78</v>
      </c>
      <c r="AJ31" s="51" t="s">
        <v>129</v>
      </c>
      <c r="AK31" s="51">
        <v>358</v>
      </c>
      <c r="AL31" s="51" t="s">
        <v>129</v>
      </c>
      <c r="AM31" s="51">
        <v>54</v>
      </c>
      <c r="AN31" s="51" t="s">
        <v>129</v>
      </c>
      <c r="AO31" s="51">
        <v>0</v>
      </c>
      <c r="AP31" s="51" t="s">
        <v>129</v>
      </c>
      <c r="AQ31" s="51" t="s">
        <v>129</v>
      </c>
      <c r="AR31" s="51" t="s">
        <v>129</v>
      </c>
      <c r="AS31" s="51" t="s">
        <v>129</v>
      </c>
      <c r="AT31" s="51" t="s">
        <v>129</v>
      </c>
      <c r="AU31" s="51" t="s">
        <v>129</v>
      </c>
      <c r="AV31" s="51" t="s">
        <v>129</v>
      </c>
      <c r="AW31" s="51" t="s">
        <v>129</v>
      </c>
      <c r="AX31" s="51" t="s">
        <v>129</v>
      </c>
      <c r="AY31" s="51">
        <v>22</v>
      </c>
      <c r="AZ31" s="51" t="s">
        <v>129</v>
      </c>
      <c r="BA31" s="51">
        <v>181</v>
      </c>
      <c r="BB31" s="51" t="s">
        <v>129</v>
      </c>
      <c r="BC31" s="51">
        <v>151</v>
      </c>
      <c r="BD31" s="51" t="s">
        <v>129</v>
      </c>
      <c r="BE31" s="51">
        <v>0</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24</v>
      </c>
      <c r="D32" s="51" t="s">
        <v>129</v>
      </c>
      <c r="E32" s="51">
        <v>277</v>
      </c>
      <c r="F32" s="51" t="s">
        <v>129</v>
      </c>
      <c r="G32" s="51">
        <v>7</v>
      </c>
      <c r="H32" s="51" t="s">
        <v>129</v>
      </c>
      <c r="I32" s="51">
        <v>0</v>
      </c>
      <c r="J32" s="51" t="s">
        <v>129</v>
      </c>
      <c r="K32" s="51" t="s">
        <v>129</v>
      </c>
      <c r="L32" s="51" t="s">
        <v>129</v>
      </c>
      <c r="M32" s="51" t="s">
        <v>129</v>
      </c>
      <c r="N32" s="51" t="s">
        <v>129</v>
      </c>
      <c r="O32" s="51" t="s">
        <v>129</v>
      </c>
      <c r="P32" s="51" t="s">
        <v>129</v>
      </c>
      <c r="Q32" s="51" t="s">
        <v>129</v>
      </c>
      <c r="R32" s="51" t="s">
        <v>129</v>
      </c>
      <c r="S32" s="51">
        <v>72</v>
      </c>
      <c r="T32" s="51" t="s">
        <v>129</v>
      </c>
      <c r="U32" s="51">
        <v>212</v>
      </c>
      <c r="V32" s="51" t="s">
        <v>129</v>
      </c>
      <c r="W32" s="51">
        <v>75</v>
      </c>
      <c r="X32" s="51" t="s">
        <v>129</v>
      </c>
      <c r="Y32" s="51">
        <v>1</v>
      </c>
      <c r="Z32" s="51" t="s">
        <v>129</v>
      </c>
      <c r="AA32" s="51" t="s">
        <v>129</v>
      </c>
      <c r="AB32" s="51" t="s">
        <v>129</v>
      </c>
      <c r="AC32" s="51" t="s">
        <v>129</v>
      </c>
      <c r="AD32" s="51" t="s">
        <v>129</v>
      </c>
      <c r="AE32" s="51" t="s">
        <v>129</v>
      </c>
      <c r="AF32" s="51" t="s">
        <v>129</v>
      </c>
      <c r="AG32" s="51" t="s">
        <v>129</v>
      </c>
      <c r="AH32" s="51" t="s">
        <v>129</v>
      </c>
      <c r="AI32" s="51">
        <v>67</v>
      </c>
      <c r="AJ32" s="51" t="s">
        <v>129</v>
      </c>
      <c r="AK32" s="51">
        <v>284</v>
      </c>
      <c r="AL32" s="51" t="s">
        <v>129</v>
      </c>
      <c r="AM32" s="51">
        <v>44</v>
      </c>
      <c r="AN32" s="51" t="s">
        <v>129</v>
      </c>
      <c r="AO32" s="51">
        <v>0</v>
      </c>
      <c r="AP32" s="51" t="s">
        <v>129</v>
      </c>
      <c r="AQ32" s="51" t="s">
        <v>129</v>
      </c>
      <c r="AR32" s="51" t="s">
        <v>129</v>
      </c>
      <c r="AS32" s="51" t="s">
        <v>129</v>
      </c>
      <c r="AT32" s="51" t="s">
        <v>129</v>
      </c>
      <c r="AU32" s="51" t="s">
        <v>129</v>
      </c>
      <c r="AV32" s="51" t="s">
        <v>129</v>
      </c>
      <c r="AW32" s="51" t="s">
        <v>129</v>
      </c>
      <c r="AX32" s="51" t="s">
        <v>129</v>
      </c>
      <c r="AY32" s="51">
        <v>18</v>
      </c>
      <c r="AZ32" s="51" t="s">
        <v>129</v>
      </c>
      <c r="BA32" s="51">
        <v>202</v>
      </c>
      <c r="BB32" s="51" t="s">
        <v>129</v>
      </c>
      <c r="BC32" s="51">
        <v>129</v>
      </c>
      <c r="BD32" s="51" t="s">
        <v>129</v>
      </c>
      <c r="BE32" s="51">
        <v>0</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21</v>
      </c>
      <c r="D33" s="51" t="s">
        <v>129</v>
      </c>
      <c r="E33" s="51">
        <v>256</v>
      </c>
      <c r="F33" s="51" t="s">
        <v>129</v>
      </c>
      <c r="G33" s="51">
        <v>8</v>
      </c>
      <c r="H33" s="51" t="s">
        <v>129</v>
      </c>
      <c r="I33" s="51">
        <v>0</v>
      </c>
      <c r="J33" s="51" t="s">
        <v>129</v>
      </c>
      <c r="K33" s="51" t="s">
        <v>129</v>
      </c>
      <c r="L33" s="51" t="s">
        <v>129</v>
      </c>
      <c r="M33" s="51" t="s">
        <v>129</v>
      </c>
      <c r="N33" s="51" t="s">
        <v>129</v>
      </c>
      <c r="O33" s="51" t="s">
        <v>129</v>
      </c>
      <c r="P33" s="51" t="s">
        <v>129</v>
      </c>
      <c r="Q33" s="51" t="s">
        <v>129</v>
      </c>
      <c r="R33" s="51" t="s">
        <v>129</v>
      </c>
      <c r="S33" s="51">
        <v>68</v>
      </c>
      <c r="T33" s="51" t="s">
        <v>129</v>
      </c>
      <c r="U33" s="51">
        <v>172</v>
      </c>
      <c r="V33" s="51" t="s">
        <v>129</v>
      </c>
      <c r="W33" s="51">
        <v>57</v>
      </c>
      <c r="X33" s="51" t="s">
        <v>129</v>
      </c>
      <c r="Y33" s="51">
        <v>0</v>
      </c>
      <c r="Z33" s="51" t="s">
        <v>129</v>
      </c>
      <c r="AA33" s="51" t="s">
        <v>129</v>
      </c>
      <c r="AB33" s="51" t="s">
        <v>129</v>
      </c>
      <c r="AC33" s="51" t="s">
        <v>129</v>
      </c>
      <c r="AD33" s="51" t="s">
        <v>129</v>
      </c>
      <c r="AE33" s="51" t="s">
        <v>129</v>
      </c>
      <c r="AF33" s="51" t="s">
        <v>129</v>
      </c>
      <c r="AG33" s="51" t="s">
        <v>129</v>
      </c>
      <c r="AH33" s="51" t="s">
        <v>129</v>
      </c>
      <c r="AI33" s="51">
        <v>70</v>
      </c>
      <c r="AJ33" s="51" t="s">
        <v>129</v>
      </c>
      <c r="AK33" s="51">
        <v>309</v>
      </c>
      <c r="AL33" s="51" t="s">
        <v>129</v>
      </c>
      <c r="AM33" s="51">
        <v>45</v>
      </c>
      <c r="AN33" s="51" t="s">
        <v>129</v>
      </c>
      <c r="AO33" s="51">
        <v>0</v>
      </c>
      <c r="AP33" s="51" t="s">
        <v>129</v>
      </c>
      <c r="AQ33" s="51" t="s">
        <v>129</v>
      </c>
      <c r="AR33" s="51" t="s">
        <v>129</v>
      </c>
      <c r="AS33" s="51" t="s">
        <v>129</v>
      </c>
      <c r="AT33" s="51" t="s">
        <v>129</v>
      </c>
      <c r="AU33" s="51" t="s">
        <v>129</v>
      </c>
      <c r="AV33" s="51" t="s">
        <v>129</v>
      </c>
      <c r="AW33" s="51" t="s">
        <v>129</v>
      </c>
      <c r="AX33" s="51" t="s">
        <v>129</v>
      </c>
      <c r="AY33" s="51">
        <v>6</v>
      </c>
      <c r="AZ33" s="51" t="s">
        <v>129</v>
      </c>
      <c r="BA33" s="51">
        <v>132</v>
      </c>
      <c r="BB33" s="51" t="s">
        <v>129</v>
      </c>
      <c r="BC33" s="51">
        <v>89</v>
      </c>
      <c r="BD33" s="51" t="s">
        <v>129</v>
      </c>
      <c r="BE33" s="51">
        <v>0</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20</v>
      </c>
      <c r="D34" s="51" t="s">
        <v>129</v>
      </c>
      <c r="E34" s="51">
        <v>220</v>
      </c>
      <c r="F34" s="51" t="s">
        <v>129</v>
      </c>
      <c r="G34" s="51">
        <v>12</v>
      </c>
      <c r="H34" s="51" t="s">
        <v>129</v>
      </c>
      <c r="I34" s="51">
        <v>0</v>
      </c>
      <c r="J34" s="51" t="s">
        <v>129</v>
      </c>
      <c r="K34" s="51" t="s">
        <v>129</v>
      </c>
      <c r="L34" s="51" t="s">
        <v>129</v>
      </c>
      <c r="M34" s="51" t="s">
        <v>129</v>
      </c>
      <c r="N34" s="51" t="s">
        <v>129</v>
      </c>
      <c r="O34" s="51" t="s">
        <v>129</v>
      </c>
      <c r="P34" s="51" t="s">
        <v>129</v>
      </c>
      <c r="Q34" s="51" t="s">
        <v>129</v>
      </c>
      <c r="R34" s="51" t="s">
        <v>129</v>
      </c>
      <c r="S34" s="51">
        <v>63</v>
      </c>
      <c r="T34" s="51" t="s">
        <v>129</v>
      </c>
      <c r="U34" s="51">
        <v>201</v>
      </c>
      <c r="V34" s="51" t="s">
        <v>129</v>
      </c>
      <c r="W34" s="51">
        <v>55</v>
      </c>
      <c r="X34" s="51" t="s">
        <v>129</v>
      </c>
      <c r="Y34" s="51">
        <v>0</v>
      </c>
      <c r="Z34" s="51" t="s">
        <v>129</v>
      </c>
      <c r="AA34" s="51" t="s">
        <v>129</v>
      </c>
      <c r="AB34" s="51" t="s">
        <v>129</v>
      </c>
      <c r="AC34" s="51" t="s">
        <v>129</v>
      </c>
      <c r="AD34" s="51" t="s">
        <v>129</v>
      </c>
      <c r="AE34" s="51" t="s">
        <v>129</v>
      </c>
      <c r="AF34" s="51" t="s">
        <v>129</v>
      </c>
      <c r="AG34" s="51" t="s">
        <v>129</v>
      </c>
      <c r="AH34" s="51" t="s">
        <v>129</v>
      </c>
      <c r="AI34" s="51">
        <v>65</v>
      </c>
      <c r="AJ34" s="51" t="s">
        <v>129</v>
      </c>
      <c r="AK34" s="51">
        <v>257</v>
      </c>
      <c r="AL34" s="51" t="s">
        <v>129</v>
      </c>
      <c r="AM34" s="51">
        <v>49</v>
      </c>
      <c r="AN34" s="51" t="s">
        <v>129</v>
      </c>
      <c r="AO34" s="51">
        <v>0</v>
      </c>
      <c r="AP34" s="51" t="s">
        <v>129</v>
      </c>
      <c r="AQ34" s="51" t="s">
        <v>129</v>
      </c>
      <c r="AR34" s="51" t="s">
        <v>129</v>
      </c>
      <c r="AS34" s="51" t="s">
        <v>129</v>
      </c>
      <c r="AT34" s="51" t="s">
        <v>129</v>
      </c>
      <c r="AU34" s="51" t="s">
        <v>129</v>
      </c>
      <c r="AV34" s="51" t="s">
        <v>129</v>
      </c>
      <c r="AW34" s="51" t="s">
        <v>129</v>
      </c>
      <c r="AX34" s="51" t="s">
        <v>129</v>
      </c>
      <c r="AY34" s="51">
        <v>4</v>
      </c>
      <c r="AZ34" s="51" t="s">
        <v>129</v>
      </c>
      <c r="BA34" s="51">
        <v>99</v>
      </c>
      <c r="BB34" s="51" t="s">
        <v>129</v>
      </c>
      <c r="BC34" s="51">
        <v>70</v>
      </c>
      <c r="BD34" s="51" t="s">
        <v>129</v>
      </c>
      <c r="BE34" s="51">
        <v>0</v>
      </c>
      <c r="BF34" s="51" t="s">
        <v>129</v>
      </c>
      <c r="BG34" s="51" t="s">
        <v>129</v>
      </c>
      <c r="BH34" s="51" t="s">
        <v>129</v>
      </c>
      <c r="BI34" s="51" t="s">
        <v>129</v>
      </c>
      <c r="BJ34" s="51" t="s">
        <v>129</v>
      </c>
      <c r="BK34" s="51" t="s">
        <v>129</v>
      </c>
      <c r="BL34" s="51" t="s">
        <v>129</v>
      </c>
      <c r="BM34" s="51"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2021-05-26T23:43:05Z</dcterms:modified>
</cp:coreProperties>
</file>