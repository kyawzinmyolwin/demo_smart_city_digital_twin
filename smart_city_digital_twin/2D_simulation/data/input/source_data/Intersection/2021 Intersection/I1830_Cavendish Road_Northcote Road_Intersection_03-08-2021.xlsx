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853ECF6-E35A-469B-877D-9E34E8B3D29D}"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L155" i="6"/>
  <c r="L98" i="6"/>
  <c r="Q98" i="6" s="1"/>
  <c r="L185" i="6"/>
  <c r="L102" i="6"/>
  <c r="Q102" i="6" s="1"/>
  <c r="L104" i="6"/>
  <c r="L269" i="6"/>
  <c r="L132" i="6"/>
  <c r="Q132" i="6" s="1"/>
  <c r="L35" i="6"/>
  <c r="L282" i="6"/>
  <c r="L230" i="6"/>
  <c r="Q230" i="6" s="1"/>
  <c r="L94" i="6"/>
  <c r="Q94" i="6" s="1"/>
  <c r="L297" i="6"/>
  <c r="Q297" i="6" s="1"/>
  <c r="L233" i="6"/>
  <c r="L169" i="6"/>
  <c r="Q169" i="6" s="1"/>
  <c r="L105" i="6"/>
  <c r="Q105" i="6" s="1"/>
  <c r="L41" i="6"/>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26" i="6"/>
  <c r="Q202" i="6"/>
  <c r="Q162" i="6"/>
  <c r="Q106" i="6"/>
  <c r="Q90" i="6"/>
  <c r="Q50" i="6"/>
  <c r="Q280" i="6"/>
  <c r="Q177" i="6"/>
  <c r="Q88" i="6"/>
  <c r="Q41" i="6"/>
  <c r="Q110" i="6"/>
  <c r="Q71" i="6"/>
  <c r="Q300" i="6"/>
  <c r="Q215" i="6"/>
  <c r="Q190" i="6"/>
  <c r="Q73" i="6"/>
  <c r="Q302" i="6"/>
  <c r="Q238" i="6"/>
  <c r="Q199" i="6"/>
  <c r="Q96" i="6"/>
  <c r="Q57" i="6"/>
  <c r="Q248" i="6"/>
  <c r="Q303" i="6"/>
  <c r="Q278" i="6"/>
  <c r="Q239" i="6"/>
  <c r="Q225" i="6"/>
  <c r="Q200" i="6"/>
  <c r="Q175" i="6"/>
  <c r="Q150" i="6"/>
  <c r="Q111" i="6"/>
  <c r="Q86" i="6"/>
  <c r="Q224" i="6"/>
  <c r="Q185" i="6"/>
  <c r="Q46" i="6"/>
  <c r="Q272" i="6"/>
  <c r="Q244" i="6"/>
  <c r="Q81" i="6"/>
  <c r="Q271" i="6"/>
  <c r="Q233" i="6"/>
  <c r="Q183" i="6"/>
  <c r="Q286" i="6"/>
  <c r="Q256" i="6"/>
  <c r="Q118" i="6"/>
  <c r="Q192" i="6"/>
  <c r="Q64" i="6"/>
  <c r="Q95" i="6"/>
  <c r="Q296" i="6"/>
  <c r="Q78" i="6"/>
  <c r="Q206"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338" i="4"/>
  <c r="I78" i="4"/>
  <c r="I158" i="4"/>
  <c r="I238" i="4"/>
  <c r="I318" i="4"/>
  <c r="I358" i="4"/>
  <c r="I3" i="4"/>
  <c r="I83" i="4"/>
  <c r="I163" i="4"/>
  <c r="I243" i="4"/>
  <c r="I323" i="4"/>
  <c r="I23" i="4"/>
  <c r="I103" i="4"/>
  <c r="I183" i="4"/>
  <c r="I263" i="4"/>
  <c r="I43" i="4"/>
  <c r="I123" i="4"/>
  <c r="I203" i="4"/>
  <c r="I283" i="4"/>
  <c r="I63" i="4"/>
  <c r="I143" i="4"/>
  <c r="I223" i="4"/>
  <c r="I303" i="4"/>
  <c r="I343" i="4"/>
  <c r="I25" i="4"/>
  <c r="I105" i="4"/>
  <c r="I185" i="4"/>
  <c r="I265" i="4"/>
  <c r="I45" i="4"/>
  <c r="I125" i="4"/>
  <c r="I205" i="4"/>
  <c r="I285" i="4"/>
  <c r="I145" i="4"/>
  <c r="I305" i="4"/>
  <c r="I85" i="4"/>
  <c r="I245" i="4"/>
  <c r="I65" i="4"/>
  <c r="I225" i="4"/>
  <c r="I345" i="4"/>
  <c r="I5" i="4"/>
  <c r="I165" i="4"/>
  <c r="I325" i="4"/>
  <c r="I73" i="4"/>
  <c r="I153" i="4"/>
  <c r="I233" i="4"/>
  <c r="I313" i="4"/>
  <c r="I13" i="4"/>
  <c r="I93" i="4"/>
  <c r="I173" i="4"/>
  <c r="I253" i="4"/>
  <c r="I333" i="4"/>
  <c r="I113" i="4"/>
  <c r="I273" i="4"/>
  <c r="I353" i="4"/>
  <c r="I53" i="4"/>
  <c r="I213" i="4"/>
  <c r="I33" i="4"/>
  <c r="I193" i="4"/>
  <c r="I133" i="4"/>
  <c r="I29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80" i="4"/>
  <c r="I160" i="4"/>
  <c r="I20" i="4"/>
  <c r="I100" i="4"/>
  <c r="I180" i="4"/>
  <c r="I40" i="4"/>
  <c r="I120" i="4"/>
  <c r="I200" i="4"/>
  <c r="I280" i="4"/>
  <c r="I60" i="4"/>
  <c r="I140" i="4"/>
  <c r="I220" i="4"/>
  <c r="I300" i="4"/>
  <c r="I360" i="4"/>
  <c r="I320" i="4"/>
  <c r="I260" i="4"/>
  <c r="I340" i="4"/>
  <c r="I2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48" i="4"/>
  <c r="I128" i="4"/>
  <c r="I208" i="4"/>
  <c r="I68" i="4"/>
  <c r="I148" i="4"/>
  <c r="I8" i="4"/>
  <c r="I88" i="4"/>
  <c r="I168" i="4"/>
  <c r="I248" i="4"/>
  <c r="I328" i="4"/>
  <c r="I28" i="4"/>
  <c r="I108" i="4"/>
  <c r="I188" i="4"/>
  <c r="I268" i="4"/>
  <c r="I288" i="4"/>
  <c r="I228" i="4"/>
  <c r="I348" i="4"/>
  <c r="I308" i="4"/>
  <c r="I64" i="4"/>
  <c r="I144" i="4"/>
  <c r="I4" i="4"/>
  <c r="I84" i="4"/>
  <c r="I164" i="4"/>
  <c r="I24" i="4"/>
  <c r="I104" i="4"/>
  <c r="I184" i="4"/>
  <c r="I264" i="4"/>
  <c r="I44" i="4"/>
  <c r="I124" i="4"/>
  <c r="I204" i="4"/>
  <c r="I284" i="4"/>
  <c r="I344" i="4"/>
  <c r="I224" i="4"/>
  <c r="I324" i="4"/>
  <c r="I304" i="4"/>
  <c r="I244" i="4"/>
  <c r="I32" i="4"/>
  <c r="I112" i="4"/>
  <c r="I192" i="4"/>
  <c r="I52" i="4"/>
  <c r="I132" i="4"/>
  <c r="I212" i="4"/>
  <c r="I72" i="4"/>
  <c r="I152" i="4"/>
  <c r="I232" i="4"/>
  <c r="I312" i="4"/>
  <c r="I12" i="4"/>
  <c r="I92" i="4"/>
  <c r="I172" i="4"/>
  <c r="I252" i="4"/>
  <c r="I332" i="4"/>
  <c r="I292" i="4"/>
  <c r="I272" i="4"/>
  <c r="I352" i="4"/>
  <c r="I35" i="4"/>
  <c r="I115" i="4"/>
  <c r="I195" i="4"/>
  <c r="I275" i="4"/>
  <c r="I55" i="4"/>
  <c r="I135" i="4"/>
  <c r="I215" i="4"/>
  <c r="I295" i="4"/>
  <c r="I75" i="4"/>
  <c r="I155" i="4"/>
  <c r="I235" i="4"/>
  <c r="I315" i="4"/>
  <c r="I15" i="4"/>
  <c r="I95" i="4"/>
  <c r="I175" i="4"/>
  <c r="I255" i="4"/>
  <c r="I335" i="4"/>
  <c r="I355" i="4"/>
  <c r="I9" i="4"/>
  <c r="I89" i="4"/>
  <c r="I169" i="4"/>
  <c r="I249" i="4"/>
  <c r="I329" i="4"/>
  <c r="I29" i="4"/>
  <c r="I109" i="4"/>
  <c r="I189" i="4"/>
  <c r="I269" i="4"/>
  <c r="I49" i="4"/>
  <c r="I209" i="4"/>
  <c r="I149" i="4"/>
  <c r="I309" i="4"/>
  <c r="I129" i="4"/>
  <c r="I289" i="4"/>
  <c r="I69" i="4"/>
  <c r="I229" i="4"/>
  <c r="I349" i="4"/>
  <c r="I41" i="4"/>
  <c r="I121" i="4"/>
  <c r="I201" i="4"/>
  <c r="I281" i="4"/>
  <c r="I61" i="4"/>
  <c r="I141" i="4"/>
  <c r="I221" i="4"/>
  <c r="I301" i="4"/>
  <c r="I81" i="4"/>
  <c r="I241" i="4"/>
  <c r="I21" i="4"/>
  <c r="I181" i="4"/>
  <c r="I341" i="4"/>
  <c r="I161" i="4"/>
  <c r="I321" i="4"/>
  <c r="I361" i="4"/>
  <c r="I101" i="4"/>
  <c r="I261" i="4"/>
  <c r="I57" i="4"/>
  <c r="I137" i="4"/>
  <c r="I217" i="4"/>
  <c r="I297" i="4"/>
  <c r="I77" i="4"/>
  <c r="I157" i="4"/>
  <c r="I237" i="4"/>
  <c r="I317" i="4"/>
  <c r="I17" i="4"/>
  <c r="I177" i="4"/>
  <c r="I337" i="4"/>
  <c r="I117" i="4"/>
  <c r="I277" i="4"/>
  <c r="I357" i="4"/>
  <c r="I97" i="4"/>
  <c r="I257" i="4"/>
  <c r="I37" i="4"/>
  <c r="I197" i="4"/>
  <c r="I16" i="4"/>
  <c r="I96" i="4"/>
  <c r="I176" i="4"/>
  <c r="I36" i="4"/>
  <c r="I116" i="4"/>
  <c r="I196" i="4"/>
  <c r="I56" i="4"/>
  <c r="I136" i="4"/>
  <c r="I216" i="4"/>
  <c r="I296" i="4"/>
  <c r="I76" i="4"/>
  <c r="I156" i="4"/>
  <c r="I236" i="4"/>
  <c r="I316" i="4"/>
  <c r="I256" i="4"/>
  <c r="I356" i="4"/>
  <c r="I336" i="4"/>
  <c r="I27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<sst xmlns="http://schemas.openxmlformats.org/spreadsheetml/2006/main" count="7719" uniqueCount="169">
  <si>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</si>
  <si>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</si>
  <si>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</si>
  <si>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</si>
  <si>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</si>
  <si>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</si>
  <si>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</si>
  <si>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</si>
  <si>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</si>
  <si>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</si>
  <si>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</si>
  <si>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</si>
  <si>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</si>
  <si>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</si>
  <si>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</si>
  <si>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</si>
  <si>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</si>
  <si>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</si>
  <si>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</si>
  <si>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</si>
  <si>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</si>
  <si>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</si>
  <si>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</si>
  <si>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</si>
  <si>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</si>
  <si>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</si>
  <si>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</si>
  <si>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</si>
  <si>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</si>
  <si>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</si>
  <si>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</si>
  <si>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</si>
  <si>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</si>
  <si>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</si>
  <si>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</si>
  <si>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</si>
  <si>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</si>
  <si>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</si>
  <si>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</si>
  <si>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</si>
  <si>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</si>
  <si>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</si>
  <si>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</si>
  <si>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</si>
  <si>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</si>
  <si>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</si>
  <si>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</si>
  <si>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</si>
  <si>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</si>
  <si>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</si>
  <si>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</si>
  <si>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</si>
  <si>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</si>
  <si>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</si>
  <si>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</si>
  <si>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</si>
  <si>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</si>
  <si>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</si>
  <si>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</si>
  <si>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</si>
  <si>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</si>
  <si>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</si>
  <si>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</si>
  <si>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</si>
  <si>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</si>
  <si>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</si>
  <si>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</si>
  <si>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</si>
  <si>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</si>
  <si>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</si>
  <si>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</si>
  <si>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</si>
  <si>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</si>
  <si>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</si>
  <si>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</si>
  <si>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</si>
  <si>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</si>
  <si>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</si>
  <si>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</si>
  <si>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</si>
  <si>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</si>
  <si>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</si>
  <si>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</si>
  <si>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</si>
  <si>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</si>
  <si>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</si>
  <si>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</si>
  <si>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</si>
  <si>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</si>
  <si>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</si>
  <si>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</si>
  <si>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</si>
  <si>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Cavendish Road_Northcote Road_Intersection</t>
  </si>
  <si>
    <t>Cavendish Road North</t>
  </si>
  <si>
    <t>Northcote Road East</t>
  </si>
  <si>
    <t>Northcote Road West</t>
  </si>
  <si>
    <t>Left into Northcote Road East</t>
  </si>
  <si>
    <t>Right into Northcote Road West</t>
  </si>
  <si>
    <t>Thru to Northcote Road West</t>
  </si>
  <si>
    <t>Right into Cavendish Road North</t>
  </si>
  <si>
    <t>Left into Cavendish Road North</t>
  </si>
  <si>
    <t>Thru to Northcote Road East</t>
  </si>
  <si>
    <t>Cavendish Road_Northcote Road_Intersection      Fine      3/08/2021</t>
  </si>
  <si>
    <t>Cavendish Road North Total</t>
  </si>
  <si>
    <t>Northcote Road East Total</t>
  </si>
  <si>
    <t>Northcote Road West Total</t>
  </si>
  <si>
    <t>Left into Northcote Road East Total</t>
  </si>
  <si>
    <t>Right into Northcote Road West Total</t>
  </si>
  <si>
    <t>Thru to Northcote Road West Total</t>
  </si>
  <si>
    <t>Right into Cavendish Road North Total</t>
  </si>
  <si>
    <t>Left into Cavendish Road North Total</t>
  </si>
  <si>
    <t>Thru to Northcote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</si>
  <si>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</si>
  <si>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</si>
  <si>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</si>
  <si>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</si>
  <si>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</si>
  <si>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</si>
  <si>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</si>
  <si>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</si>
  <si>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</si>
  <si>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</si>
  <si>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</si>
  <si>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</si>
  <si>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</si>
  <si>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</si>
  <si>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</si>
  <si>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</si>
  <si>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</si>
  <si>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</si>
  <si>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</si>
  <si>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</si>
  <si>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</si>
  <si>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</si>
  <si>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</si>
  <si>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</si>
  <si>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</si>
  <si>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</si>
  <si>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</si>
  <si>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</si>
  <si>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</si>
  <si>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</si>
  <si>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</si>
  <si>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</si>
  <si>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</si>
  <si>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</si>
  <si>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</si>
  <si>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</si>
  <si>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</si>
  <si>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</si>
  <si>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</si>
  <si>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</si>
  <si>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</si>
  <si>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</si>
  <si>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Northcote Rd Eastbound</t>
  </si>
  <si>
    <t>Northcote Rd Westbound</t>
  </si>
  <si>
    <t>Cavendish Rd</t>
  </si>
  <si>
    <t>Lights</t>
  </si>
  <si>
    <t>Classification</t>
  </si>
  <si>
    <t>Road</t>
  </si>
  <si>
    <t>Type</t>
  </si>
  <si>
    <t>Project</t>
  </si>
  <si>
    <t>Site Code</t>
  </si>
  <si>
    <t>08/03/2021</t>
  </si>
  <si>
    <t>Start Date</t>
  </si>
  <si>
    <t>CCC I1830 Cavendish Rd - Northcote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</si>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</sst>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99029E6-9C1D-4858-A0E9-7FAC0F7A5D9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Road_Intersection_03-08-2021.xlsx]Graphs!pvtGraphApproach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Cavendish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46</c:v>
                </c:pt>
                <c:pt idx="2">
                  <c:v>61</c:v>
                </c:pt>
                <c:pt idx="3">
                  <c:v>82</c:v>
                </c:pt>
                <c:pt idx="4">
                  <c:v>111</c:v>
                </c:pt>
                <c:pt idx="5">
                  <c:v>86</c:v>
                </c:pt>
                <c:pt idx="6">
                  <c:v>53</c:v>
                </c:pt>
                <c:pt idx="7">
                  <c:v>33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Northcote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285</c:v>
                </c:pt>
                <c:pt idx="1">
                  <c:v>301</c:v>
                </c:pt>
                <c:pt idx="2">
                  <c:v>316</c:v>
                </c:pt>
                <c:pt idx="3">
                  <c:v>302</c:v>
                </c:pt>
                <c:pt idx="4">
                  <c:v>254</c:v>
                </c:pt>
                <c:pt idx="5">
                  <c:v>225</c:v>
                </c:pt>
                <c:pt idx="6">
                  <c:v>269</c:v>
                </c:pt>
                <c:pt idx="7">
                  <c:v>307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159</c:v>
                </c:pt>
                <c:pt idx="2">
                  <c:v>208</c:v>
                </c:pt>
                <c:pt idx="3">
                  <c:v>219</c:v>
                </c:pt>
                <c:pt idx="4">
                  <c:v>217</c:v>
                </c:pt>
                <c:pt idx="5">
                  <c:v>205</c:v>
                </c:pt>
                <c:pt idx="6">
                  <c:v>226</c:v>
                </c:pt>
                <c:pt idx="7">
                  <c:v>199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Road_Intersection_03-08-2021.xlsx]Graphs!pvtGraphExit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Cavendish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14</c:v>
                </c:pt>
                <c:pt idx="2">
                  <c:v>20</c:v>
                </c:pt>
                <c:pt idx="3">
                  <c:v>17</c:v>
                </c:pt>
                <c:pt idx="4">
                  <c:v>31</c:v>
                </c:pt>
                <c:pt idx="5">
                  <c:v>43</c:v>
                </c:pt>
                <c:pt idx="6">
                  <c:v>41</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Northcote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170</c:v>
                </c:pt>
                <c:pt idx="1">
                  <c:v>179</c:v>
                </c:pt>
                <c:pt idx="2">
                  <c:v>238</c:v>
                </c:pt>
                <c:pt idx="3">
                  <c:v>251</c:v>
                </c:pt>
                <c:pt idx="4">
                  <c:v>260</c:v>
                </c:pt>
                <c:pt idx="5">
                  <c:v>238</c:v>
                </c:pt>
                <c:pt idx="6">
                  <c:v>243</c:v>
                </c:pt>
                <c:pt idx="7">
                  <c:v>208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295</c:v>
                </c:pt>
                <c:pt idx="1">
                  <c:v>313</c:v>
                </c:pt>
                <c:pt idx="2">
                  <c:v>327</c:v>
                </c:pt>
                <c:pt idx="3">
                  <c:v>335</c:v>
                </c:pt>
                <c:pt idx="4">
                  <c:v>291</c:v>
                </c:pt>
                <c:pt idx="5">
                  <c:v>235</c:v>
                </c:pt>
                <c:pt idx="6">
                  <c:v>264</c:v>
                </c:pt>
                <c:pt idx="7">
                  <c:v>290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Road_Intersection_03-08-2021.xlsx]GraphData!PivotTable2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475</c:v>
                </c:pt>
                <c:pt idx="1">
                  <c:v>506</c:v>
                </c:pt>
                <c:pt idx="2">
                  <c:v>585</c:v>
                </c:pt>
                <c:pt idx="3">
                  <c:v>603</c:v>
                </c:pt>
                <c:pt idx="4">
                  <c:v>582</c:v>
                </c:pt>
                <c:pt idx="5">
                  <c:v>516</c:v>
                </c:pt>
                <c:pt idx="6">
                  <c:v>548</c:v>
                </c:pt>
                <c:pt idx="7">
                  <c:v>539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Road_Intersection_03-08-2021.xlsx]PeakCalc!pvtPeak2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475</c:v>
                </c:pt>
                <c:pt idx="1">
                  <c:v>506</c:v>
                </c:pt>
                <c:pt idx="2">
                  <c:v>585</c:v>
                </c:pt>
                <c:pt idx="3">
                  <c:v>603</c:v>
                </c:pt>
                <c:pt idx="4">
                  <c:v>582</c:v>
                </c:pt>
                <c:pt idx="5">
                  <c:v>516</c:v>
                </c:pt>
                <c:pt idx="6">
                  <c:v>548</c:v>
                </c:pt>
                <c:pt idx="7">
                  <c:v>539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585</c:v>
                </c:pt>
                <c:pt idx="3">
                  <c:v>603</c:v>
                </c:pt>
                <c:pt idx="4">
                  <c:v>582</c:v>
                </c:pt>
                <c:pt idx="5">
                  <c:v>516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1179034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1294342</xdr:colOff>
      <xdr:row>5</xdr:row>
      <xdr:rowOff>3175</xdr:rowOff>
    </xdr:from>
    <xdr:to>
      <xdr:col>20</xdr:col>
      <xdr:colOff>897517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19.58528298611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9"/>
    </cacheField>
    <cacheField name="Peak" numFmtId="0">
      <sharedItems containsSemiMixedTypes="0" containsString="0" containsNumber="1" containsInteger="1" minValue="0" maxValue="62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19.585361458332" createdVersion="5" refreshedVersion="7" minRefreshableVersion="3" recordCount="360" xr:uid="{00000000-000A-0000-FFFF-FFFF01000000}">
  <cacheSource type="worksheet">
    <worksheetSource name="tblPivotData"/>
  </cacheSource>
  <cacheFields count="9">
    <cacheField name="Approach" numFmtId="0">
      <sharedItems count="6">
        <s v="Cavendish Road North"/>
        <s v="Northcote Road East"/>
        <s v="Northcote Road West"/>
        <s v="Great south Rd (North)" u="1"/>
        <s v="Great south Rd (South)" u="1"/>
        <s v="Grange Rd" u="1"/>
      </sharedItems>
    </cacheField>
    <cacheField name="Movement" numFmtId="0">
      <sharedItems count="14">
        <s v="Left into Northcote Road East"/>
        <s v="Right into Northcote Road West"/>
        <s v="Thru to Northcote Road West"/>
        <s v="Right into Cavendish Road North"/>
        <s v="Left into Cavendish Road North"/>
        <s v="Thru to Northcote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Northcote Road East"/>
        <s v="Northcote Road West"/>
        <s v="Cavendis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75"/>
    <n v="0"/>
  </r>
  <r>
    <x v="0"/>
    <x v="1"/>
    <n v="506"/>
    <n v="0"/>
  </r>
  <r>
    <x v="0"/>
    <x v="2"/>
    <n v="585"/>
    <n v="585"/>
  </r>
  <r>
    <x v="0"/>
    <x v="3"/>
    <n v="603"/>
    <n v="603"/>
  </r>
  <r>
    <x v="0"/>
    <x v="4"/>
    <n v="582"/>
    <n v="582"/>
  </r>
  <r>
    <x v="0"/>
    <x v="5"/>
    <n v="516"/>
    <n v="516"/>
  </r>
  <r>
    <x v="0"/>
    <x v="6"/>
    <n v="548"/>
    <n v="0"/>
  </r>
  <r>
    <x v="0"/>
    <x v="7"/>
    <n v="539"/>
    <n v="0"/>
  </r>
  <r>
    <x v="1"/>
    <x v="8"/>
    <n v="352"/>
    <n v="352"/>
  </r>
  <r>
    <x v="1"/>
    <x v="9"/>
    <n v="386"/>
    <n v="386"/>
  </r>
  <r>
    <x v="1"/>
    <x v="10"/>
    <n v="362"/>
    <n v="362"/>
  </r>
  <r>
    <x v="1"/>
    <x v="11"/>
    <n v="397"/>
    <n v="397"/>
  </r>
  <r>
    <x v="2"/>
    <x v="12"/>
    <n v="576"/>
    <n v="576"/>
  </r>
  <r>
    <x v="2"/>
    <x v="13"/>
    <n v="563"/>
    <n v="563"/>
  </r>
  <r>
    <x v="2"/>
    <x v="14"/>
    <n v="629"/>
    <n v="629"/>
  </r>
  <r>
    <x v="2"/>
    <x v="15"/>
    <n v="629"/>
    <n v="629"/>
  </r>
  <r>
    <x v="2"/>
    <x v="16"/>
    <n v="555"/>
    <n v="0"/>
  </r>
  <r>
    <x v="2"/>
    <x v="17"/>
    <n v="555"/>
    <n v="0"/>
  </r>
  <r>
    <x v="2"/>
    <x v="18"/>
    <n v="516"/>
    <n v="0"/>
  </r>
  <r>
    <x v="2"/>
    <x v="19"/>
    <n v="40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1"/>
    <x v="0"/>
    <x v="0"/>
  </r>
  <r>
    <x v="0"/>
    <x v="0"/>
    <x v="0"/>
    <x v="0"/>
    <x v="0"/>
    <x v="1"/>
    <n v="27"/>
    <x v="1"/>
    <x v="0"/>
  </r>
  <r>
    <x v="0"/>
    <x v="0"/>
    <x v="0"/>
    <x v="0"/>
    <x v="0"/>
    <x v="2"/>
    <n v="39"/>
    <x v="2"/>
    <x v="1"/>
  </r>
  <r>
    <x v="0"/>
    <x v="0"/>
    <x v="0"/>
    <x v="0"/>
    <x v="0"/>
    <x v="3"/>
    <n v="39"/>
    <x v="3"/>
    <x v="1"/>
  </r>
  <r>
    <x v="0"/>
    <x v="0"/>
    <x v="0"/>
    <x v="0"/>
    <x v="0"/>
    <x v="4"/>
    <n v="54"/>
    <x v="4"/>
    <x v="1"/>
  </r>
  <r>
    <x v="0"/>
    <x v="0"/>
    <x v="0"/>
    <x v="0"/>
    <x v="0"/>
    <x v="5"/>
    <n v="48"/>
    <x v="5"/>
    <x v="1"/>
  </r>
  <r>
    <x v="0"/>
    <x v="0"/>
    <x v="0"/>
    <x v="0"/>
    <x v="0"/>
    <x v="6"/>
    <n v="33"/>
    <x v="6"/>
    <x v="0"/>
  </r>
  <r>
    <x v="0"/>
    <x v="0"/>
    <x v="0"/>
    <x v="0"/>
    <x v="0"/>
    <x v="7"/>
    <n v="21"/>
    <x v="7"/>
    <x v="0"/>
  </r>
  <r>
    <x v="0"/>
    <x v="0"/>
    <x v="0"/>
    <x v="0"/>
    <x v="1"/>
    <x v="8"/>
    <n v="14"/>
    <x v="8"/>
    <x v="1"/>
  </r>
  <r>
    <x v="0"/>
    <x v="0"/>
    <x v="0"/>
    <x v="0"/>
    <x v="1"/>
    <x v="9"/>
    <n v="15"/>
    <x v="9"/>
    <x v="1"/>
  </r>
  <r>
    <x v="0"/>
    <x v="0"/>
    <x v="0"/>
    <x v="0"/>
    <x v="1"/>
    <x v="10"/>
    <n v="14"/>
    <x v="10"/>
    <x v="1"/>
  </r>
  <r>
    <x v="0"/>
    <x v="0"/>
    <x v="0"/>
    <x v="0"/>
    <x v="1"/>
    <x v="11"/>
    <n v="26"/>
    <x v="11"/>
    <x v="1"/>
  </r>
  <r>
    <x v="0"/>
    <x v="0"/>
    <x v="0"/>
    <x v="0"/>
    <x v="2"/>
    <x v="12"/>
    <n v="25"/>
    <x v="12"/>
    <x v="1"/>
  </r>
  <r>
    <x v="0"/>
    <x v="0"/>
    <x v="0"/>
    <x v="0"/>
    <x v="2"/>
    <x v="13"/>
    <n v="16"/>
    <x v="13"/>
    <x v="1"/>
  </r>
  <r>
    <x v="0"/>
    <x v="0"/>
    <x v="0"/>
    <x v="0"/>
    <x v="2"/>
    <x v="14"/>
    <n v="23"/>
    <x v="14"/>
    <x v="1"/>
  </r>
  <r>
    <x v="0"/>
    <x v="0"/>
    <x v="0"/>
    <x v="0"/>
    <x v="2"/>
    <x v="15"/>
    <n v="19"/>
    <x v="15"/>
    <x v="1"/>
  </r>
  <r>
    <x v="0"/>
    <x v="0"/>
    <x v="0"/>
    <x v="0"/>
    <x v="2"/>
    <x v="16"/>
    <n v="18"/>
    <x v="16"/>
    <x v="0"/>
  </r>
  <r>
    <x v="0"/>
    <x v="0"/>
    <x v="0"/>
    <x v="0"/>
    <x v="2"/>
    <x v="17"/>
    <n v="27"/>
    <x v="17"/>
    <x v="0"/>
  </r>
  <r>
    <x v="0"/>
    <x v="0"/>
    <x v="0"/>
    <x v="0"/>
    <x v="2"/>
    <x v="18"/>
    <n v="13"/>
    <x v="18"/>
    <x v="0"/>
  </r>
  <r>
    <x v="0"/>
    <x v="0"/>
    <x v="0"/>
    <x v="0"/>
    <x v="2"/>
    <x v="19"/>
    <n v="14"/>
    <x v="19"/>
    <x v="0"/>
  </r>
  <r>
    <x v="0"/>
    <x v="0"/>
    <x v="0"/>
    <x v="1"/>
    <x v="0"/>
    <x v="0"/>
    <n v="1"/>
    <x v="0"/>
    <x v="0"/>
  </r>
  <r>
    <x v="0"/>
    <x v="0"/>
    <x v="0"/>
    <x v="1"/>
    <x v="0"/>
    <x v="1"/>
    <n v="1"/>
    <x v="1"/>
    <x v="0"/>
  </r>
  <r>
    <x v="0"/>
    <x v="0"/>
    <x v="0"/>
    <x v="1"/>
    <x v="0"/>
    <x v="2"/>
    <n v="0"/>
    <x v="2"/>
    <x v="1"/>
  </r>
  <r>
    <x v="0"/>
    <x v="0"/>
    <x v="0"/>
    <x v="1"/>
    <x v="0"/>
    <x v="3"/>
    <n v="1"/>
    <x v="3"/>
    <x v="1"/>
  </r>
  <r>
    <x v="0"/>
    <x v="0"/>
    <x v="0"/>
    <x v="1"/>
    <x v="0"/>
    <x v="4"/>
    <n v="1"/>
    <x v="4"/>
    <x v="1"/>
  </r>
  <r>
    <x v="0"/>
    <x v="0"/>
    <x v="0"/>
    <x v="1"/>
    <x v="0"/>
    <x v="5"/>
    <n v="3"/>
    <x v="5"/>
    <x v="1"/>
  </r>
  <r>
    <x v="0"/>
    <x v="0"/>
    <x v="0"/>
    <x v="1"/>
    <x v="0"/>
    <x v="6"/>
    <n v="0"/>
    <x v="6"/>
    <x v="0"/>
  </r>
  <r>
    <x v="0"/>
    <x v="0"/>
    <x v="0"/>
    <x v="1"/>
    <x v="0"/>
    <x v="7"/>
    <n v="0"/>
    <x v="7"/>
    <x v="0"/>
  </r>
  <r>
    <x v="0"/>
    <x v="0"/>
    <x v="0"/>
    <x v="1"/>
    <x v="1"/>
    <x v="8"/>
    <n v="3"/>
    <x v="8"/>
    <x v="1"/>
  </r>
  <r>
    <x v="0"/>
    <x v="0"/>
    <x v="0"/>
    <x v="1"/>
    <x v="1"/>
    <x v="9"/>
    <n v="1"/>
    <x v="9"/>
    <x v="1"/>
  </r>
  <r>
    <x v="0"/>
    <x v="0"/>
    <x v="0"/>
    <x v="1"/>
    <x v="1"/>
    <x v="10"/>
    <n v="0"/>
    <x v="10"/>
    <x v="1"/>
  </r>
  <r>
    <x v="0"/>
    <x v="0"/>
    <x v="0"/>
    <x v="1"/>
    <x v="1"/>
    <x v="11"/>
    <n v="0"/>
    <x v="11"/>
    <x v="1"/>
  </r>
  <r>
    <x v="0"/>
    <x v="0"/>
    <x v="0"/>
    <x v="1"/>
    <x v="2"/>
    <x v="12"/>
    <n v="1"/>
    <x v="12"/>
    <x v="1"/>
  </r>
  <r>
    <x v="0"/>
    <x v="0"/>
    <x v="0"/>
    <x v="1"/>
    <x v="2"/>
    <x v="13"/>
    <n v="0"/>
    <x v="13"/>
    <x v="1"/>
  </r>
  <r>
    <x v="0"/>
    <x v="0"/>
    <x v="0"/>
    <x v="1"/>
    <x v="2"/>
    <x v="14"/>
    <n v="1"/>
    <x v="14"/>
    <x v="1"/>
  </r>
  <r>
    <x v="0"/>
    <x v="0"/>
    <x v="0"/>
    <x v="1"/>
    <x v="2"/>
    <x v="15"/>
    <n v="0"/>
    <x v="15"/>
    <x v="1"/>
  </r>
  <r>
    <x v="0"/>
    <x v="0"/>
    <x v="0"/>
    <x v="1"/>
    <x v="2"/>
    <x v="16"/>
    <n v="1"/>
    <x v="16"/>
    <x v="0"/>
  </r>
  <r>
    <x v="0"/>
    <x v="0"/>
    <x v="0"/>
    <x v="1"/>
    <x v="2"/>
    <x v="17"/>
    <n v="0"/>
    <x v="17"/>
    <x v="0"/>
  </r>
  <r>
    <x v="0"/>
    <x v="0"/>
    <x v="0"/>
    <x v="1"/>
    <x v="2"/>
    <x v="18"/>
    <n v="1"/>
    <x v="18"/>
    <x v="0"/>
  </r>
  <r>
    <x v="0"/>
    <x v="0"/>
    <x v="0"/>
    <x v="1"/>
    <x v="2"/>
    <x v="19"/>
    <n v="0"/>
    <x v="19"/>
    <x v="0"/>
  </r>
  <r>
    <x v="0"/>
    <x v="0"/>
    <x v="0"/>
    <x v="2"/>
    <x v="0"/>
    <x v="0"/>
    <n v="2"/>
    <x v="0"/>
    <x v="0"/>
  </r>
  <r>
    <x v="0"/>
    <x v="0"/>
    <x v="0"/>
    <x v="2"/>
    <x v="0"/>
    <x v="1"/>
    <n v="0"/>
    <x v="1"/>
    <x v="0"/>
  </r>
  <r>
    <x v="0"/>
    <x v="0"/>
    <x v="0"/>
    <x v="2"/>
    <x v="0"/>
    <x v="2"/>
    <n v="0"/>
    <x v="2"/>
    <x v="1"/>
  </r>
  <r>
    <x v="0"/>
    <x v="0"/>
    <x v="0"/>
    <x v="2"/>
    <x v="0"/>
    <x v="3"/>
    <n v="0"/>
    <x v="3"/>
    <x v="1"/>
  </r>
  <r>
    <x v="0"/>
    <x v="0"/>
    <x v="0"/>
    <x v="2"/>
    <x v="0"/>
    <x v="4"/>
    <n v="1"/>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6"/>
    <x v="0"/>
    <x v="0"/>
  </r>
  <r>
    <x v="0"/>
    <x v="1"/>
    <x v="1"/>
    <x v="0"/>
    <x v="0"/>
    <x v="1"/>
    <n v="18"/>
    <x v="1"/>
    <x v="0"/>
  </r>
  <r>
    <x v="0"/>
    <x v="1"/>
    <x v="1"/>
    <x v="0"/>
    <x v="0"/>
    <x v="2"/>
    <n v="22"/>
    <x v="2"/>
    <x v="1"/>
  </r>
  <r>
    <x v="0"/>
    <x v="1"/>
    <x v="1"/>
    <x v="0"/>
    <x v="0"/>
    <x v="3"/>
    <n v="41"/>
    <x v="3"/>
    <x v="1"/>
  </r>
  <r>
    <x v="0"/>
    <x v="1"/>
    <x v="1"/>
    <x v="0"/>
    <x v="0"/>
    <x v="4"/>
    <n v="55"/>
    <x v="4"/>
    <x v="1"/>
  </r>
  <r>
    <x v="0"/>
    <x v="1"/>
    <x v="1"/>
    <x v="0"/>
    <x v="0"/>
    <x v="5"/>
    <n v="35"/>
    <x v="5"/>
    <x v="1"/>
  </r>
  <r>
    <x v="0"/>
    <x v="1"/>
    <x v="1"/>
    <x v="0"/>
    <x v="0"/>
    <x v="6"/>
    <n v="20"/>
    <x v="6"/>
    <x v="0"/>
  </r>
  <r>
    <x v="0"/>
    <x v="1"/>
    <x v="1"/>
    <x v="0"/>
    <x v="0"/>
    <x v="7"/>
    <n v="11"/>
    <x v="7"/>
    <x v="0"/>
  </r>
  <r>
    <x v="0"/>
    <x v="1"/>
    <x v="1"/>
    <x v="0"/>
    <x v="1"/>
    <x v="8"/>
    <n v="5"/>
    <x v="8"/>
    <x v="1"/>
  </r>
  <r>
    <x v="0"/>
    <x v="1"/>
    <x v="1"/>
    <x v="0"/>
    <x v="1"/>
    <x v="9"/>
    <n v="16"/>
    <x v="9"/>
    <x v="1"/>
  </r>
  <r>
    <x v="0"/>
    <x v="1"/>
    <x v="1"/>
    <x v="0"/>
    <x v="1"/>
    <x v="10"/>
    <n v="14"/>
    <x v="10"/>
    <x v="1"/>
  </r>
  <r>
    <x v="0"/>
    <x v="1"/>
    <x v="1"/>
    <x v="0"/>
    <x v="1"/>
    <x v="11"/>
    <n v="11"/>
    <x v="11"/>
    <x v="1"/>
  </r>
  <r>
    <x v="0"/>
    <x v="1"/>
    <x v="1"/>
    <x v="0"/>
    <x v="2"/>
    <x v="12"/>
    <n v="12"/>
    <x v="12"/>
    <x v="1"/>
  </r>
  <r>
    <x v="0"/>
    <x v="1"/>
    <x v="1"/>
    <x v="0"/>
    <x v="2"/>
    <x v="13"/>
    <n v="9"/>
    <x v="13"/>
    <x v="1"/>
  </r>
  <r>
    <x v="0"/>
    <x v="1"/>
    <x v="1"/>
    <x v="0"/>
    <x v="2"/>
    <x v="14"/>
    <n v="2"/>
    <x v="14"/>
    <x v="1"/>
  </r>
  <r>
    <x v="0"/>
    <x v="1"/>
    <x v="1"/>
    <x v="0"/>
    <x v="2"/>
    <x v="15"/>
    <n v="5"/>
    <x v="15"/>
    <x v="1"/>
  </r>
  <r>
    <x v="0"/>
    <x v="1"/>
    <x v="1"/>
    <x v="0"/>
    <x v="2"/>
    <x v="16"/>
    <n v="9"/>
    <x v="16"/>
    <x v="0"/>
  </r>
  <r>
    <x v="0"/>
    <x v="1"/>
    <x v="1"/>
    <x v="0"/>
    <x v="2"/>
    <x v="17"/>
    <n v="8"/>
    <x v="17"/>
    <x v="0"/>
  </r>
  <r>
    <x v="0"/>
    <x v="1"/>
    <x v="1"/>
    <x v="0"/>
    <x v="2"/>
    <x v="18"/>
    <n v="7"/>
    <x v="18"/>
    <x v="0"/>
  </r>
  <r>
    <x v="0"/>
    <x v="1"/>
    <x v="1"/>
    <x v="0"/>
    <x v="2"/>
    <x v="19"/>
    <n v="8"/>
    <x v="19"/>
    <x v="0"/>
  </r>
  <r>
    <x v="0"/>
    <x v="1"/>
    <x v="1"/>
    <x v="1"/>
    <x v="0"/>
    <x v="0"/>
    <n v="0"/>
    <x v="0"/>
    <x v="0"/>
  </r>
  <r>
    <x v="0"/>
    <x v="1"/>
    <x v="1"/>
    <x v="1"/>
    <x v="0"/>
    <x v="1"/>
    <n v="0"/>
    <x v="1"/>
    <x v="0"/>
  </r>
  <r>
    <x v="0"/>
    <x v="1"/>
    <x v="1"/>
    <x v="1"/>
    <x v="0"/>
    <x v="2"/>
    <n v="0"/>
    <x v="2"/>
    <x v="1"/>
  </r>
  <r>
    <x v="0"/>
    <x v="1"/>
    <x v="1"/>
    <x v="1"/>
    <x v="0"/>
    <x v="3"/>
    <n v="1"/>
    <x v="3"/>
    <x v="1"/>
  </r>
  <r>
    <x v="0"/>
    <x v="1"/>
    <x v="1"/>
    <x v="1"/>
    <x v="0"/>
    <x v="4"/>
    <n v="0"/>
    <x v="4"/>
    <x v="1"/>
  </r>
  <r>
    <x v="0"/>
    <x v="1"/>
    <x v="1"/>
    <x v="1"/>
    <x v="0"/>
    <x v="5"/>
    <n v="0"/>
    <x v="5"/>
    <x v="1"/>
  </r>
  <r>
    <x v="0"/>
    <x v="1"/>
    <x v="1"/>
    <x v="1"/>
    <x v="0"/>
    <x v="6"/>
    <n v="0"/>
    <x v="6"/>
    <x v="0"/>
  </r>
  <r>
    <x v="0"/>
    <x v="1"/>
    <x v="1"/>
    <x v="1"/>
    <x v="0"/>
    <x v="7"/>
    <n v="1"/>
    <x v="7"/>
    <x v="0"/>
  </r>
  <r>
    <x v="0"/>
    <x v="1"/>
    <x v="1"/>
    <x v="1"/>
    <x v="1"/>
    <x v="8"/>
    <n v="0"/>
    <x v="8"/>
    <x v="1"/>
  </r>
  <r>
    <x v="0"/>
    <x v="1"/>
    <x v="1"/>
    <x v="1"/>
    <x v="1"/>
    <x v="9"/>
    <n v="0"/>
    <x v="9"/>
    <x v="1"/>
  </r>
  <r>
    <x v="0"/>
    <x v="1"/>
    <x v="1"/>
    <x v="1"/>
    <x v="1"/>
    <x v="10"/>
    <n v="1"/>
    <x v="10"/>
    <x v="1"/>
  </r>
  <r>
    <x v="0"/>
    <x v="1"/>
    <x v="1"/>
    <x v="1"/>
    <x v="1"/>
    <x v="11"/>
    <n v="0"/>
    <x v="11"/>
    <x v="1"/>
  </r>
  <r>
    <x v="0"/>
    <x v="1"/>
    <x v="1"/>
    <x v="1"/>
    <x v="2"/>
    <x v="12"/>
    <n v="0"/>
    <x v="12"/>
    <x v="1"/>
  </r>
  <r>
    <x v="0"/>
    <x v="1"/>
    <x v="1"/>
    <x v="1"/>
    <x v="2"/>
    <x v="13"/>
    <n v="0"/>
    <x v="13"/>
    <x v="1"/>
  </r>
  <r>
    <x v="0"/>
    <x v="1"/>
    <x v="1"/>
    <x v="1"/>
    <x v="2"/>
    <x v="14"/>
    <n v="1"/>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273"/>
    <x v="0"/>
    <x v="0"/>
  </r>
  <r>
    <x v="1"/>
    <x v="2"/>
    <x v="1"/>
    <x v="0"/>
    <x v="0"/>
    <x v="1"/>
    <n v="290"/>
    <x v="1"/>
    <x v="0"/>
  </r>
  <r>
    <x v="1"/>
    <x v="2"/>
    <x v="1"/>
    <x v="0"/>
    <x v="0"/>
    <x v="2"/>
    <n v="296"/>
    <x v="2"/>
    <x v="1"/>
  </r>
  <r>
    <x v="1"/>
    <x v="2"/>
    <x v="1"/>
    <x v="0"/>
    <x v="0"/>
    <x v="3"/>
    <n v="289"/>
    <x v="3"/>
    <x v="1"/>
  </r>
  <r>
    <x v="1"/>
    <x v="2"/>
    <x v="1"/>
    <x v="0"/>
    <x v="0"/>
    <x v="4"/>
    <n v="228"/>
    <x v="4"/>
    <x v="1"/>
  </r>
  <r>
    <x v="1"/>
    <x v="2"/>
    <x v="1"/>
    <x v="0"/>
    <x v="0"/>
    <x v="5"/>
    <n v="192"/>
    <x v="5"/>
    <x v="1"/>
  </r>
  <r>
    <x v="1"/>
    <x v="2"/>
    <x v="1"/>
    <x v="0"/>
    <x v="0"/>
    <x v="6"/>
    <n v="232"/>
    <x v="6"/>
    <x v="0"/>
  </r>
  <r>
    <x v="1"/>
    <x v="2"/>
    <x v="1"/>
    <x v="0"/>
    <x v="0"/>
    <x v="7"/>
    <n v="262"/>
    <x v="7"/>
    <x v="0"/>
  </r>
  <r>
    <x v="1"/>
    <x v="2"/>
    <x v="1"/>
    <x v="0"/>
    <x v="1"/>
    <x v="8"/>
    <n v="136"/>
    <x v="8"/>
    <x v="1"/>
  </r>
  <r>
    <x v="1"/>
    <x v="2"/>
    <x v="1"/>
    <x v="0"/>
    <x v="1"/>
    <x v="9"/>
    <n v="139"/>
    <x v="9"/>
    <x v="1"/>
  </r>
  <r>
    <x v="1"/>
    <x v="2"/>
    <x v="1"/>
    <x v="0"/>
    <x v="1"/>
    <x v="10"/>
    <n v="144"/>
    <x v="10"/>
    <x v="1"/>
  </r>
  <r>
    <x v="1"/>
    <x v="2"/>
    <x v="1"/>
    <x v="0"/>
    <x v="1"/>
    <x v="11"/>
    <n v="157"/>
    <x v="11"/>
    <x v="1"/>
  </r>
  <r>
    <x v="1"/>
    <x v="2"/>
    <x v="1"/>
    <x v="0"/>
    <x v="2"/>
    <x v="12"/>
    <n v="184"/>
    <x v="12"/>
    <x v="1"/>
  </r>
  <r>
    <x v="1"/>
    <x v="2"/>
    <x v="1"/>
    <x v="0"/>
    <x v="2"/>
    <x v="13"/>
    <n v="208"/>
    <x v="13"/>
    <x v="1"/>
  </r>
  <r>
    <x v="1"/>
    <x v="2"/>
    <x v="1"/>
    <x v="0"/>
    <x v="2"/>
    <x v="14"/>
    <n v="248"/>
    <x v="14"/>
    <x v="1"/>
  </r>
  <r>
    <x v="1"/>
    <x v="2"/>
    <x v="1"/>
    <x v="0"/>
    <x v="2"/>
    <x v="15"/>
    <n v="227"/>
    <x v="15"/>
    <x v="1"/>
  </r>
  <r>
    <x v="1"/>
    <x v="2"/>
    <x v="1"/>
    <x v="0"/>
    <x v="2"/>
    <x v="16"/>
    <n v="203"/>
    <x v="16"/>
    <x v="0"/>
  </r>
  <r>
    <x v="1"/>
    <x v="2"/>
    <x v="1"/>
    <x v="0"/>
    <x v="2"/>
    <x v="17"/>
    <n v="195"/>
    <x v="17"/>
    <x v="0"/>
  </r>
  <r>
    <x v="1"/>
    <x v="2"/>
    <x v="1"/>
    <x v="0"/>
    <x v="2"/>
    <x v="18"/>
    <n v="175"/>
    <x v="18"/>
    <x v="0"/>
  </r>
  <r>
    <x v="1"/>
    <x v="2"/>
    <x v="1"/>
    <x v="0"/>
    <x v="2"/>
    <x v="19"/>
    <n v="154"/>
    <x v="19"/>
    <x v="0"/>
  </r>
  <r>
    <x v="1"/>
    <x v="2"/>
    <x v="1"/>
    <x v="1"/>
    <x v="0"/>
    <x v="0"/>
    <n v="6"/>
    <x v="0"/>
    <x v="0"/>
  </r>
  <r>
    <x v="1"/>
    <x v="2"/>
    <x v="1"/>
    <x v="1"/>
    <x v="0"/>
    <x v="1"/>
    <n v="5"/>
    <x v="1"/>
    <x v="0"/>
  </r>
  <r>
    <x v="1"/>
    <x v="2"/>
    <x v="1"/>
    <x v="1"/>
    <x v="0"/>
    <x v="2"/>
    <n v="8"/>
    <x v="2"/>
    <x v="1"/>
  </r>
  <r>
    <x v="1"/>
    <x v="2"/>
    <x v="1"/>
    <x v="1"/>
    <x v="0"/>
    <x v="3"/>
    <n v="4"/>
    <x v="3"/>
    <x v="1"/>
  </r>
  <r>
    <x v="1"/>
    <x v="2"/>
    <x v="1"/>
    <x v="1"/>
    <x v="0"/>
    <x v="4"/>
    <n v="8"/>
    <x v="4"/>
    <x v="1"/>
  </r>
  <r>
    <x v="1"/>
    <x v="2"/>
    <x v="1"/>
    <x v="1"/>
    <x v="0"/>
    <x v="5"/>
    <n v="8"/>
    <x v="5"/>
    <x v="1"/>
  </r>
  <r>
    <x v="1"/>
    <x v="2"/>
    <x v="1"/>
    <x v="1"/>
    <x v="0"/>
    <x v="6"/>
    <n v="12"/>
    <x v="6"/>
    <x v="0"/>
  </r>
  <r>
    <x v="1"/>
    <x v="2"/>
    <x v="1"/>
    <x v="1"/>
    <x v="0"/>
    <x v="7"/>
    <n v="16"/>
    <x v="7"/>
    <x v="0"/>
  </r>
  <r>
    <x v="1"/>
    <x v="2"/>
    <x v="1"/>
    <x v="1"/>
    <x v="1"/>
    <x v="8"/>
    <n v="8"/>
    <x v="8"/>
    <x v="1"/>
  </r>
  <r>
    <x v="1"/>
    <x v="2"/>
    <x v="1"/>
    <x v="1"/>
    <x v="1"/>
    <x v="9"/>
    <n v="15"/>
    <x v="9"/>
    <x v="1"/>
  </r>
  <r>
    <x v="1"/>
    <x v="2"/>
    <x v="1"/>
    <x v="1"/>
    <x v="1"/>
    <x v="10"/>
    <n v="7"/>
    <x v="10"/>
    <x v="1"/>
  </r>
  <r>
    <x v="1"/>
    <x v="2"/>
    <x v="1"/>
    <x v="1"/>
    <x v="1"/>
    <x v="11"/>
    <n v="7"/>
    <x v="11"/>
    <x v="1"/>
  </r>
  <r>
    <x v="1"/>
    <x v="2"/>
    <x v="1"/>
    <x v="1"/>
    <x v="2"/>
    <x v="12"/>
    <n v="6"/>
    <x v="12"/>
    <x v="1"/>
  </r>
  <r>
    <x v="1"/>
    <x v="2"/>
    <x v="1"/>
    <x v="1"/>
    <x v="2"/>
    <x v="13"/>
    <n v="5"/>
    <x v="13"/>
    <x v="1"/>
  </r>
  <r>
    <x v="1"/>
    <x v="2"/>
    <x v="1"/>
    <x v="1"/>
    <x v="2"/>
    <x v="14"/>
    <n v="7"/>
    <x v="14"/>
    <x v="1"/>
  </r>
  <r>
    <x v="1"/>
    <x v="2"/>
    <x v="1"/>
    <x v="1"/>
    <x v="2"/>
    <x v="15"/>
    <n v="2"/>
    <x v="15"/>
    <x v="1"/>
  </r>
  <r>
    <x v="1"/>
    <x v="2"/>
    <x v="1"/>
    <x v="1"/>
    <x v="2"/>
    <x v="16"/>
    <n v="4"/>
    <x v="16"/>
    <x v="0"/>
  </r>
  <r>
    <x v="1"/>
    <x v="2"/>
    <x v="1"/>
    <x v="1"/>
    <x v="2"/>
    <x v="17"/>
    <n v="2"/>
    <x v="17"/>
    <x v="0"/>
  </r>
  <r>
    <x v="1"/>
    <x v="2"/>
    <x v="1"/>
    <x v="1"/>
    <x v="2"/>
    <x v="18"/>
    <n v="4"/>
    <x v="18"/>
    <x v="0"/>
  </r>
  <r>
    <x v="1"/>
    <x v="2"/>
    <x v="1"/>
    <x v="1"/>
    <x v="2"/>
    <x v="19"/>
    <n v="0"/>
    <x v="19"/>
    <x v="0"/>
  </r>
  <r>
    <x v="1"/>
    <x v="2"/>
    <x v="1"/>
    <x v="2"/>
    <x v="0"/>
    <x v="0"/>
    <n v="0"/>
    <x v="0"/>
    <x v="0"/>
  </r>
  <r>
    <x v="1"/>
    <x v="2"/>
    <x v="1"/>
    <x v="2"/>
    <x v="0"/>
    <x v="1"/>
    <n v="0"/>
    <x v="1"/>
    <x v="0"/>
  </r>
  <r>
    <x v="1"/>
    <x v="2"/>
    <x v="1"/>
    <x v="2"/>
    <x v="0"/>
    <x v="2"/>
    <n v="1"/>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1"/>
    <x v="16"/>
    <x v="0"/>
  </r>
  <r>
    <x v="1"/>
    <x v="2"/>
    <x v="1"/>
    <x v="2"/>
    <x v="2"/>
    <x v="17"/>
    <n v="0"/>
    <x v="17"/>
    <x v="0"/>
  </r>
  <r>
    <x v="1"/>
    <x v="2"/>
    <x v="1"/>
    <x v="2"/>
    <x v="2"/>
    <x v="18"/>
    <n v="0"/>
    <x v="18"/>
    <x v="0"/>
  </r>
  <r>
    <x v="1"/>
    <x v="2"/>
    <x v="1"/>
    <x v="2"/>
    <x v="2"/>
    <x v="19"/>
    <n v="0"/>
    <x v="19"/>
    <x v="0"/>
  </r>
  <r>
    <x v="1"/>
    <x v="3"/>
    <x v="2"/>
    <x v="0"/>
    <x v="0"/>
    <x v="0"/>
    <n v="5"/>
    <x v="0"/>
    <x v="0"/>
  </r>
  <r>
    <x v="1"/>
    <x v="3"/>
    <x v="2"/>
    <x v="0"/>
    <x v="0"/>
    <x v="1"/>
    <n v="5"/>
    <x v="1"/>
    <x v="0"/>
  </r>
  <r>
    <x v="1"/>
    <x v="3"/>
    <x v="2"/>
    <x v="0"/>
    <x v="0"/>
    <x v="2"/>
    <n v="10"/>
    <x v="2"/>
    <x v="1"/>
  </r>
  <r>
    <x v="1"/>
    <x v="3"/>
    <x v="2"/>
    <x v="0"/>
    <x v="0"/>
    <x v="3"/>
    <n v="8"/>
    <x v="3"/>
    <x v="1"/>
  </r>
  <r>
    <x v="1"/>
    <x v="3"/>
    <x v="2"/>
    <x v="0"/>
    <x v="0"/>
    <x v="4"/>
    <n v="18"/>
    <x v="4"/>
    <x v="1"/>
  </r>
  <r>
    <x v="1"/>
    <x v="3"/>
    <x v="2"/>
    <x v="0"/>
    <x v="0"/>
    <x v="5"/>
    <n v="25"/>
    <x v="5"/>
    <x v="1"/>
  </r>
  <r>
    <x v="1"/>
    <x v="3"/>
    <x v="2"/>
    <x v="0"/>
    <x v="0"/>
    <x v="6"/>
    <n v="24"/>
    <x v="6"/>
    <x v="0"/>
  </r>
  <r>
    <x v="1"/>
    <x v="3"/>
    <x v="2"/>
    <x v="0"/>
    <x v="0"/>
    <x v="7"/>
    <n v="28"/>
    <x v="7"/>
    <x v="0"/>
  </r>
  <r>
    <x v="1"/>
    <x v="3"/>
    <x v="2"/>
    <x v="0"/>
    <x v="1"/>
    <x v="8"/>
    <n v="17"/>
    <x v="8"/>
    <x v="1"/>
  </r>
  <r>
    <x v="1"/>
    <x v="3"/>
    <x v="2"/>
    <x v="0"/>
    <x v="1"/>
    <x v="9"/>
    <n v="19"/>
    <x v="9"/>
    <x v="1"/>
  </r>
  <r>
    <x v="1"/>
    <x v="3"/>
    <x v="2"/>
    <x v="0"/>
    <x v="1"/>
    <x v="10"/>
    <n v="22"/>
    <x v="10"/>
    <x v="1"/>
  </r>
  <r>
    <x v="1"/>
    <x v="3"/>
    <x v="2"/>
    <x v="0"/>
    <x v="1"/>
    <x v="11"/>
    <n v="23"/>
    <x v="11"/>
    <x v="1"/>
  </r>
  <r>
    <x v="1"/>
    <x v="3"/>
    <x v="2"/>
    <x v="0"/>
    <x v="2"/>
    <x v="12"/>
    <n v="28"/>
    <x v="12"/>
    <x v="1"/>
  </r>
  <r>
    <x v="1"/>
    <x v="3"/>
    <x v="2"/>
    <x v="0"/>
    <x v="2"/>
    <x v="13"/>
    <n v="35"/>
    <x v="13"/>
    <x v="1"/>
  </r>
  <r>
    <x v="1"/>
    <x v="3"/>
    <x v="2"/>
    <x v="0"/>
    <x v="2"/>
    <x v="14"/>
    <n v="34"/>
    <x v="14"/>
    <x v="1"/>
  </r>
  <r>
    <x v="1"/>
    <x v="3"/>
    <x v="2"/>
    <x v="0"/>
    <x v="2"/>
    <x v="15"/>
    <n v="39"/>
    <x v="15"/>
    <x v="1"/>
  </r>
  <r>
    <x v="1"/>
    <x v="3"/>
    <x v="2"/>
    <x v="0"/>
    <x v="2"/>
    <x v="16"/>
    <n v="43"/>
    <x v="16"/>
    <x v="0"/>
  </r>
  <r>
    <x v="1"/>
    <x v="3"/>
    <x v="2"/>
    <x v="0"/>
    <x v="2"/>
    <x v="17"/>
    <n v="51"/>
    <x v="17"/>
    <x v="0"/>
  </r>
  <r>
    <x v="1"/>
    <x v="3"/>
    <x v="2"/>
    <x v="0"/>
    <x v="2"/>
    <x v="18"/>
    <n v="50"/>
    <x v="18"/>
    <x v="0"/>
  </r>
  <r>
    <x v="1"/>
    <x v="3"/>
    <x v="2"/>
    <x v="0"/>
    <x v="2"/>
    <x v="19"/>
    <n v="37"/>
    <x v="19"/>
    <x v="0"/>
  </r>
  <r>
    <x v="1"/>
    <x v="3"/>
    <x v="2"/>
    <x v="1"/>
    <x v="0"/>
    <x v="0"/>
    <n v="1"/>
    <x v="0"/>
    <x v="0"/>
  </r>
  <r>
    <x v="1"/>
    <x v="3"/>
    <x v="2"/>
    <x v="1"/>
    <x v="0"/>
    <x v="1"/>
    <n v="1"/>
    <x v="1"/>
    <x v="0"/>
  </r>
  <r>
    <x v="1"/>
    <x v="3"/>
    <x v="2"/>
    <x v="1"/>
    <x v="0"/>
    <x v="2"/>
    <n v="1"/>
    <x v="2"/>
    <x v="1"/>
  </r>
  <r>
    <x v="1"/>
    <x v="3"/>
    <x v="2"/>
    <x v="1"/>
    <x v="0"/>
    <x v="3"/>
    <n v="1"/>
    <x v="3"/>
    <x v="1"/>
  </r>
  <r>
    <x v="1"/>
    <x v="3"/>
    <x v="2"/>
    <x v="1"/>
    <x v="0"/>
    <x v="4"/>
    <n v="0"/>
    <x v="4"/>
    <x v="1"/>
  </r>
  <r>
    <x v="1"/>
    <x v="3"/>
    <x v="2"/>
    <x v="1"/>
    <x v="0"/>
    <x v="5"/>
    <n v="0"/>
    <x v="5"/>
    <x v="1"/>
  </r>
  <r>
    <x v="1"/>
    <x v="3"/>
    <x v="2"/>
    <x v="1"/>
    <x v="0"/>
    <x v="6"/>
    <n v="1"/>
    <x v="6"/>
    <x v="0"/>
  </r>
  <r>
    <x v="1"/>
    <x v="3"/>
    <x v="2"/>
    <x v="1"/>
    <x v="0"/>
    <x v="7"/>
    <n v="1"/>
    <x v="7"/>
    <x v="0"/>
  </r>
  <r>
    <x v="1"/>
    <x v="3"/>
    <x v="2"/>
    <x v="1"/>
    <x v="1"/>
    <x v="8"/>
    <n v="0"/>
    <x v="8"/>
    <x v="1"/>
  </r>
  <r>
    <x v="1"/>
    <x v="3"/>
    <x v="2"/>
    <x v="1"/>
    <x v="1"/>
    <x v="9"/>
    <n v="1"/>
    <x v="9"/>
    <x v="1"/>
  </r>
  <r>
    <x v="1"/>
    <x v="3"/>
    <x v="2"/>
    <x v="1"/>
    <x v="1"/>
    <x v="10"/>
    <n v="1"/>
    <x v="10"/>
    <x v="1"/>
  </r>
  <r>
    <x v="1"/>
    <x v="3"/>
    <x v="2"/>
    <x v="1"/>
    <x v="1"/>
    <x v="11"/>
    <n v="0"/>
    <x v="11"/>
    <x v="1"/>
  </r>
  <r>
    <x v="1"/>
    <x v="3"/>
    <x v="2"/>
    <x v="1"/>
    <x v="2"/>
    <x v="12"/>
    <n v="0"/>
    <x v="12"/>
    <x v="1"/>
  </r>
  <r>
    <x v="1"/>
    <x v="3"/>
    <x v="2"/>
    <x v="1"/>
    <x v="2"/>
    <x v="13"/>
    <n v="1"/>
    <x v="13"/>
    <x v="1"/>
  </r>
  <r>
    <x v="1"/>
    <x v="3"/>
    <x v="2"/>
    <x v="1"/>
    <x v="2"/>
    <x v="14"/>
    <n v="0"/>
    <x v="14"/>
    <x v="1"/>
  </r>
  <r>
    <x v="1"/>
    <x v="3"/>
    <x v="2"/>
    <x v="1"/>
    <x v="2"/>
    <x v="15"/>
    <n v="0"/>
    <x v="15"/>
    <x v="1"/>
  </r>
  <r>
    <x v="1"/>
    <x v="3"/>
    <x v="2"/>
    <x v="1"/>
    <x v="2"/>
    <x v="16"/>
    <n v="0"/>
    <x v="16"/>
    <x v="0"/>
  </r>
  <r>
    <x v="1"/>
    <x v="3"/>
    <x v="2"/>
    <x v="1"/>
    <x v="2"/>
    <x v="17"/>
    <n v="1"/>
    <x v="17"/>
    <x v="0"/>
  </r>
  <r>
    <x v="1"/>
    <x v="3"/>
    <x v="2"/>
    <x v="1"/>
    <x v="2"/>
    <x v="18"/>
    <n v="0"/>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2"/>
    <x v="13"/>
    <x v="1"/>
  </r>
  <r>
    <x v="1"/>
    <x v="3"/>
    <x v="2"/>
    <x v="2"/>
    <x v="2"/>
    <x v="14"/>
    <n v="0"/>
    <x v="14"/>
    <x v="1"/>
  </r>
  <r>
    <x v="1"/>
    <x v="3"/>
    <x v="2"/>
    <x v="2"/>
    <x v="2"/>
    <x v="15"/>
    <n v="0"/>
    <x v="15"/>
    <x v="1"/>
  </r>
  <r>
    <x v="1"/>
    <x v="3"/>
    <x v="2"/>
    <x v="2"/>
    <x v="2"/>
    <x v="16"/>
    <n v="0"/>
    <x v="16"/>
    <x v="0"/>
  </r>
  <r>
    <x v="1"/>
    <x v="3"/>
    <x v="2"/>
    <x v="2"/>
    <x v="2"/>
    <x v="17"/>
    <n v="0"/>
    <x v="17"/>
    <x v="0"/>
  </r>
  <r>
    <x v="1"/>
    <x v="3"/>
    <x v="2"/>
    <x v="2"/>
    <x v="2"/>
    <x v="18"/>
    <n v="1"/>
    <x v="18"/>
    <x v="0"/>
  </r>
  <r>
    <x v="1"/>
    <x v="3"/>
    <x v="2"/>
    <x v="2"/>
    <x v="2"/>
    <x v="19"/>
    <n v="0"/>
    <x v="19"/>
    <x v="0"/>
  </r>
  <r>
    <x v="2"/>
    <x v="4"/>
    <x v="2"/>
    <x v="0"/>
    <x v="0"/>
    <x v="0"/>
    <n v="4"/>
    <x v="0"/>
    <x v="0"/>
  </r>
  <r>
    <x v="2"/>
    <x v="4"/>
    <x v="2"/>
    <x v="0"/>
    <x v="0"/>
    <x v="1"/>
    <n v="8"/>
    <x v="1"/>
    <x v="0"/>
  </r>
  <r>
    <x v="2"/>
    <x v="4"/>
    <x v="2"/>
    <x v="0"/>
    <x v="0"/>
    <x v="2"/>
    <n v="8"/>
    <x v="2"/>
    <x v="1"/>
  </r>
  <r>
    <x v="2"/>
    <x v="4"/>
    <x v="2"/>
    <x v="0"/>
    <x v="0"/>
    <x v="3"/>
    <n v="8"/>
    <x v="3"/>
    <x v="1"/>
  </r>
  <r>
    <x v="2"/>
    <x v="4"/>
    <x v="2"/>
    <x v="0"/>
    <x v="0"/>
    <x v="4"/>
    <n v="13"/>
    <x v="4"/>
    <x v="1"/>
  </r>
  <r>
    <x v="2"/>
    <x v="4"/>
    <x v="2"/>
    <x v="0"/>
    <x v="0"/>
    <x v="5"/>
    <n v="17"/>
    <x v="5"/>
    <x v="1"/>
  </r>
  <r>
    <x v="2"/>
    <x v="4"/>
    <x v="2"/>
    <x v="0"/>
    <x v="0"/>
    <x v="6"/>
    <n v="16"/>
    <x v="6"/>
    <x v="0"/>
  </r>
  <r>
    <x v="2"/>
    <x v="4"/>
    <x v="2"/>
    <x v="0"/>
    <x v="0"/>
    <x v="7"/>
    <n v="12"/>
    <x v="7"/>
    <x v="0"/>
  </r>
  <r>
    <x v="2"/>
    <x v="4"/>
    <x v="2"/>
    <x v="0"/>
    <x v="1"/>
    <x v="8"/>
    <n v="12"/>
    <x v="8"/>
    <x v="1"/>
  </r>
  <r>
    <x v="2"/>
    <x v="4"/>
    <x v="2"/>
    <x v="0"/>
    <x v="1"/>
    <x v="9"/>
    <n v="11"/>
    <x v="9"/>
    <x v="1"/>
  </r>
  <r>
    <x v="2"/>
    <x v="4"/>
    <x v="2"/>
    <x v="0"/>
    <x v="1"/>
    <x v="10"/>
    <n v="12"/>
    <x v="10"/>
    <x v="1"/>
  </r>
  <r>
    <x v="2"/>
    <x v="4"/>
    <x v="2"/>
    <x v="0"/>
    <x v="1"/>
    <x v="11"/>
    <n v="9"/>
    <x v="11"/>
    <x v="1"/>
  </r>
  <r>
    <x v="2"/>
    <x v="4"/>
    <x v="2"/>
    <x v="0"/>
    <x v="2"/>
    <x v="12"/>
    <n v="17"/>
    <x v="12"/>
    <x v="1"/>
  </r>
  <r>
    <x v="2"/>
    <x v="4"/>
    <x v="2"/>
    <x v="0"/>
    <x v="2"/>
    <x v="13"/>
    <n v="21"/>
    <x v="13"/>
    <x v="1"/>
  </r>
  <r>
    <x v="2"/>
    <x v="4"/>
    <x v="2"/>
    <x v="0"/>
    <x v="2"/>
    <x v="14"/>
    <n v="11"/>
    <x v="14"/>
    <x v="1"/>
  </r>
  <r>
    <x v="2"/>
    <x v="4"/>
    <x v="2"/>
    <x v="0"/>
    <x v="2"/>
    <x v="15"/>
    <n v="20"/>
    <x v="15"/>
    <x v="1"/>
  </r>
  <r>
    <x v="2"/>
    <x v="4"/>
    <x v="2"/>
    <x v="0"/>
    <x v="2"/>
    <x v="16"/>
    <n v="26"/>
    <x v="16"/>
    <x v="0"/>
  </r>
  <r>
    <x v="2"/>
    <x v="4"/>
    <x v="2"/>
    <x v="0"/>
    <x v="2"/>
    <x v="17"/>
    <n v="31"/>
    <x v="17"/>
    <x v="0"/>
  </r>
  <r>
    <x v="2"/>
    <x v="4"/>
    <x v="2"/>
    <x v="0"/>
    <x v="2"/>
    <x v="18"/>
    <n v="21"/>
    <x v="18"/>
    <x v="0"/>
  </r>
  <r>
    <x v="2"/>
    <x v="4"/>
    <x v="2"/>
    <x v="0"/>
    <x v="2"/>
    <x v="19"/>
    <n v="14"/>
    <x v="19"/>
    <x v="0"/>
  </r>
  <r>
    <x v="2"/>
    <x v="4"/>
    <x v="2"/>
    <x v="1"/>
    <x v="0"/>
    <x v="0"/>
    <n v="0"/>
    <x v="0"/>
    <x v="0"/>
  </r>
  <r>
    <x v="2"/>
    <x v="4"/>
    <x v="2"/>
    <x v="1"/>
    <x v="0"/>
    <x v="1"/>
    <n v="0"/>
    <x v="1"/>
    <x v="0"/>
  </r>
  <r>
    <x v="2"/>
    <x v="4"/>
    <x v="2"/>
    <x v="1"/>
    <x v="0"/>
    <x v="2"/>
    <n v="1"/>
    <x v="2"/>
    <x v="1"/>
  </r>
  <r>
    <x v="2"/>
    <x v="4"/>
    <x v="2"/>
    <x v="1"/>
    <x v="0"/>
    <x v="3"/>
    <n v="0"/>
    <x v="3"/>
    <x v="1"/>
  </r>
  <r>
    <x v="2"/>
    <x v="4"/>
    <x v="2"/>
    <x v="1"/>
    <x v="0"/>
    <x v="4"/>
    <n v="0"/>
    <x v="4"/>
    <x v="1"/>
  </r>
  <r>
    <x v="2"/>
    <x v="4"/>
    <x v="2"/>
    <x v="1"/>
    <x v="0"/>
    <x v="5"/>
    <n v="1"/>
    <x v="5"/>
    <x v="1"/>
  </r>
  <r>
    <x v="2"/>
    <x v="4"/>
    <x v="2"/>
    <x v="1"/>
    <x v="0"/>
    <x v="6"/>
    <n v="0"/>
    <x v="6"/>
    <x v="0"/>
  </r>
  <r>
    <x v="2"/>
    <x v="4"/>
    <x v="2"/>
    <x v="1"/>
    <x v="0"/>
    <x v="7"/>
    <n v="0"/>
    <x v="7"/>
    <x v="0"/>
  </r>
  <r>
    <x v="2"/>
    <x v="4"/>
    <x v="2"/>
    <x v="1"/>
    <x v="1"/>
    <x v="8"/>
    <n v="0"/>
    <x v="8"/>
    <x v="1"/>
  </r>
  <r>
    <x v="2"/>
    <x v="4"/>
    <x v="2"/>
    <x v="1"/>
    <x v="1"/>
    <x v="9"/>
    <n v="0"/>
    <x v="9"/>
    <x v="1"/>
  </r>
  <r>
    <x v="2"/>
    <x v="4"/>
    <x v="2"/>
    <x v="1"/>
    <x v="1"/>
    <x v="10"/>
    <n v="0"/>
    <x v="10"/>
    <x v="1"/>
  </r>
  <r>
    <x v="2"/>
    <x v="4"/>
    <x v="2"/>
    <x v="1"/>
    <x v="1"/>
    <x v="11"/>
    <n v="1"/>
    <x v="11"/>
    <x v="1"/>
  </r>
  <r>
    <x v="2"/>
    <x v="4"/>
    <x v="2"/>
    <x v="1"/>
    <x v="2"/>
    <x v="12"/>
    <n v="0"/>
    <x v="12"/>
    <x v="1"/>
  </r>
  <r>
    <x v="2"/>
    <x v="4"/>
    <x v="2"/>
    <x v="1"/>
    <x v="2"/>
    <x v="13"/>
    <n v="0"/>
    <x v="13"/>
    <x v="1"/>
  </r>
  <r>
    <x v="2"/>
    <x v="4"/>
    <x v="2"/>
    <x v="1"/>
    <x v="2"/>
    <x v="14"/>
    <n v="0"/>
    <x v="14"/>
    <x v="1"/>
  </r>
  <r>
    <x v="2"/>
    <x v="4"/>
    <x v="2"/>
    <x v="1"/>
    <x v="2"/>
    <x v="15"/>
    <n v="0"/>
    <x v="15"/>
    <x v="1"/>
  </r>
  <r>
    <x v="2"/>
    <x v="4"/>
    <x v="2"/>
    <x v="1"/>
    <x v="2"/>
    <x v="16"/>
    <n v="0"/>
    <x v="16"/>
    <x v="0"/>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132"/>
    <x v="0"/>
    <x v="0"/>
  </r>
  <r>
    <x v="2"/>
    <x v="5"/>
    <x v="0"/>
    <x v="0"/>
    <x v="0"/>
    <x v="1"/>
    <n v="143"/>
    <x v="1"/>
    <x v="0"/>
  </r>
  <r>
    <x v="2"/>
    <x v="5"/>
    <x v="0"/>
    <x v="0"/>
    <x v="0"/>
    <x v="2"/>
    <n v="193"/>
    <x v="2"/>
    <x v="1"/>
  </r>
  <r>
    <x v="2"/>
    <x v="5"/>
    <x v="0"/>
    <x v="0"/>
    <x v="0"/>
    <x v="3"/>
    <n v="197"/>
    <x v="3"/>
    <x v="1"/>
  </r>
  <r>
    <x v="2"/>
    <x v="5"/>
    <x v="0"/>
    <x v="0"/>
    <x v="0"/>
    <x v="4"/>
    <n v="190"/>
    <x v="4"/>
    <x v="1"/>
  </r>
  <r>
    <x v="2"/>
    <x v="5"/>
    <x v="0"/>
    <x v="0"/>
    <x v="0"/>
    <x v="5"/>
    <n v="174"/>
    <x v="5"/>
    <x v="1"/>
  </r>
  <r>
    <x v="2"/>
    <x v="5"/>
    <x v="0"/>
    <x v="0"/>
    <x v="0"/>
    <x v="6"/>
    <n v="199"/>
    <x v="6"/>
    <x v="0"/>
  </r>
  <r>
    <x v="2"/>
    <x v="5"/>
    <x v="0"/>
    <x v="0"/>
    <x v="0"/>
    <x v="7"/>
    <n v="183"/>
    <x v="7"/>
    <x v="0"/>
  </r>
  <r>
    <x v="2"/>
    <x v="5"/>
    <x v="0"/>
    <x v="0"/>
    <x v="1"/>
    <x v="8"/>
    <n v="143"/>
    <x v="8"/>
    <x v="1"/>
  </r>
  <r>
    <x v="2"/>
    <x v="5"/>
    <x v="0"/>
    <x v="0"/>
    <x v="1"/>
    <x v="9"/>
    <n v="153"/>
    <x v="9"/>
    <x v="1"/>
  </r>
  <r>
    <x v="2"/>
    <x v="5"/>
    <x v="0"/>
    <x v="0"/>
    <x v="1"/>
    <x v="10"/>
    <n v="138"/>
    <x v="10"/>
    <x v="1"/>
  </r>
  <r>
    <x v="2"/>
    <x v="5"/>
    <x v="0"/>
    <x v="0"/>
    <x v="1"/>
    <x v="11"/>
    <n v="155"/>
    <x v="11"/>
    <x v="1"/>
  </r>
  <r>
    <x v="2"/>
    <x v="5"/>
    <x v="0"/>
    <x v="0"/>
    <x v="2"/>
    <x v="12"/>
    <n v="301"/>
    <x v="12"/>
    <x v="1"/>
  </r>
  <r>
    <x v="2"/>
    <x v="5"/>
    <x v="0"/>
    <x v="0"/>
    <x v="2"/>
    <x v="13"/>
    <n v="261"/>
    <x v="13"/>
    <x v="1"/>
  </r>
  <r>
    <x v="2"/>
    <x v="5"/>
    <x v="0"/>
    <x v="0"/>
    <x v="2"/>
    <x v="14"/>
    <n v="298"/>
    <x v="14"/>
    <x v="1"/>
  </r>
  <r>
    <x v="2"/>
    <x v="5"/>
    <x v="0"/>
    <x v="0"/>
    <x v="2"/>
    <x v="15"/>
    <n v="314"/>
    <x v="15"/>
    <x v="1"/>
  </r>
  <r>
    <x v="2"/>
    <x v="5"/>
    <x v="0"/>
    <x v="0"/>
    <x v="2"/>
    <x v="16"/>
    <n v="245"/>
    <x v="16"/>
    <x v="0"/>
  </r>
  <r>
    <x v="2"/>
    <x v="5"/>
    <x v="0"/>
    <x v="0"/>
    <x v="2"/>
    <x v="17"/>
    <n v="240"/>
    <x v="17"/>
    <x v="0"/>
  </r>
  <r>
    <x v="2"/>
    <x v="5"/>
    <x v="0"/>
    <x v="0"/>
    <x v="2"/>
    <x v="18"/>
    <n v="240"/>
    <x v="18"/>
    <x v="0"/>
  </r>
  <r>
    <x v="2"/>
    <x v="5"/>
    <x v="0"/>
    <x v="0"/>
    <x v="2"/>
    <x v="19"/>
    <n v="177"/>
    <x v="19"/>
    <x v="0"/>
  </r>
  <r>
    <x v="2"/>
    <x v="5"/>
    <x v="0"/>
    <x v="1"/>
    <x v="0"/>
    <x v="0"/>
    <n v="4"/>
    <x v="0"/>
    <x v="0"/>
  </r>
  <r>
    <x v="2"/>
    <x v="5"/>
    <x v="0"/>
    <x v="1"/>
    <x v="0"/>
    <x v="1"/>
    <n v="8"/>
    <x v="1"/>
    <x v="0"/>
  </r>
  <r>
    <x v="2"/>
    <x v="5"/>
    <x v="0"/>
    <x v="1"/>
    <x v="0"/>
    <x v="2"/>
    <n v="6"/>
    <x v="2"/>
    <x v="1"/>
  </r>
  <r>
    <x v="2"/>
    <x v="5"/>
    <x v="0"/>
    <x v="1"/>
    <x v="0"/>
    <x v="3"/>
    <n v="12"/>
    <x v="3"/>
    <x v="1"/>
  </r>
  <r>
    <x v="2"/>
    <x v="5"/>
    <x v="0"/>
    <x v="1"/>
    <x v="0"/>
    <x v="4"/>
    <n v="12"/>
    <x v="4"/>
    <x v="1"/>
  </r>
  <r>
    <x v="2"/>
    <x v="5"/>
    <x v="0"/>
    <x v="1"/>
    <x v="0"/>
    <x v="5"/>
    <n v="12"/>
    <x v="5"/>
    <x v="1"/>
  </r>
  <r>
    <x v="2"/>
    <x v="5"/>
    <x v="0"/>
    <x v="1"/>
    <x v="0"/>
    <x v="6"/>
    <n v="11"/>
    <x v="6"/>
    <x v="0"/>
  </r>
  <r>
    <x v="2"/>
    <x v="5"/>
    <x v="0"/>
    <x v="1"/>
    <x v="0"/>
    <x v="7"/>
    <n v="4"/>
    <x v="7"/>
    <x v="0"/>
  </r>
  <r>
    <x v="2"/>
    <x v="5"/>
    <x v="0"/>
    <x v="1"/>
    <x v="1"/>
    <x v="8"/>
    <n v="14"/>
    <x v="8"/>
    <x v="1"/>
  </r>
  <r>
    <x v="2"/>
    <x v="5"/>
    <x v="0"/>
    <x v="1"/>
    <x v="1"/>
    <x v="9"/>
    <n v="16"/>
    <x v="9"/>
    <x v="1"/>
  </r>
  <r>
    <x v="2"/>
    <x v="5"/>
    <x v="0"/>
    <x v="1"/>
    <x v="1"/>
    <x v="10"/>
    <n v="9"/>
    <x v="10"/>
    <x v="1"/>
  </r>
  <r>
    <x v="2"/>
    <x v="5"/>
    <x v="0"/>
    <x v="1"/>
    <x v="1"/>
    <x v="11"/>
    <n v="8"/>
    <x v="11"/>
    <x v="1"/>
  </r>
  <r>
    <x v="2"/>
    <x v="5"/>
    <x v="0"/>
    <x v="1"/>
    <x v="2"/>
    <x v="12"/>
    <n v="2"/>
    <x v="12"/>
    <x v="1"/>
  </r>
  <r>
    <x v="2"/>
    <x v="5"/>
    <x v="0"/>
    <x v="1"/>
    <x v="2"/>
    <x v="13"/>
    <n v="4"/>
    <x v="13"/>
    <x v="1"/>
  </r>
  <r>
    <x v="2"/>
    <x v="5"/>
    <x v="0"/>
    <x v="1"/>
    <x v="2"/>
    <x v="14"/>
    <n v="2"/>
    <x v="14"/>
    <x v="1"/>
  </r>
  <r>
    <x v="2"/>
    <x v="5"/>
    <x v="0"/>
    <x v="1"/>
    <x v="2"/>
    <x v="15"/>
    <n v="3"/>
    <x v="15"/>
    <x v="1"/>
  </r>
  <r>
    <x v="2"/>
    <x v="5"/>
    <x v="0"/>
    <x v="1"/>
    <x v="2"/>
    <x v="16"/>
    <n v="5"/>
    <x v="16"/>
    <x v="0"/>
  </r>
  <r>
    <x v="2"/>
    <x v="5"/>
    <x v="0"/>
    <x v="1"/>
    <x v="2"/>
    <x v="17"/>
    <n v="0"/>
    <x v="17"/>
    <x v="0"/>
  </r>
  <r>
    <x v="2"/>
    <x v="5"/>
    <x v="0"/>
    <x v="1"/>
    <x v="2"/>
    <x v="18"/>
    <n v="3"/>
    <x v="18"/>
    <x v="0"/>
  </r>
  <r>
    <x v="2"/>
    <x v="5"/>
    <x v="0"/>
    <x v="1"/>
    <x v="2"/>
    <x v="19"/>
    <n v="2"/>
    <x v="19"/>
    <x v="0"/>
  </r>
  <r>
    <x v="2"/>
    <x v="5"/>
    <x v="0"/>
    <x v="2"/>
    <x v="0"/>
    <x v="0"/>
    <n v="0"/>
    <x v="0"/>
    <x v="0"/>
  </r>
  <r>
    <x v="2"/>
    <x v="5"/>
    <x v="0"/>
    <x v="2"/>
    <x v="0"/>
    <x v="1"/>
    <n v="0"/>
    <x v="1"/>
    <x v="0"/>
  </r>
  <r>
    <x v="2"/>
    <x v="5"/>
    <x v="0"/>
    <x v="2"/>
    <x v="0"/>
    <x v="2"/>
    <n v="0"/>
    <x v="2"/>
    <x v="1"/>
  </r>
  <r>
    <x v="2"/>
    <x v="5"/>
    <x v="0"/>
    <x v="2"/>
    <x v="0"/>
    <x v="3"/>
    <n v="2"/>
    <x v="3"/>
    <x v="1"/>
  </r>
  <r>
    <x v="2"/>
    <x v="5"/>
    <x v="0"/>
    <x v="2"/>
    <x v="0"/>
    <x v="4"/>
    <n v="2"/>
    <x v="4"/>
    <x v="1"/>
  </r>
  <r>
    <x v="2"/>
    <x v="5"/>
    <x v="0"/>
    <x v="2"/>
    <x v="0"/>
    <x v="5"/>
    <n v="1"/>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1"/>
    <x v="13"/>
    <x v="1"/>
  </r>
  <r>
    <x v="2"/>
    <x v="5"/>
    <x v="0"/>
    <x v="2"/>
    <x v="2"/>
    <x v="14"/>
    <n v="2"/>
    <x v="14"/>
    <x v="1"/>
  </r>
  <r>
    <x v="2"/>
    <x v="5"/>
    <x v="0"/>
    <x v="2"/>
    <x v="2"/>
    <x v="15"/>
    <n v="0"/>
    <x v="15"/>
    <x v="1"/>
  </r>
  <r>
    <x v="2"/>
    <x v="5"/>
    <x v="0"/>
    <x v="2"/>
    <x v="2"/>
    <x v="16"/>
    <n v="0"/>
    <x v="16"/>
    <x v="0"/>
  </r>
  <r>
    <x v="2"/>
    <x v="5"/>
    <x v="0"/>
    <x v="2"/>
    <x v="2"/>
    <x v="17"/>
    <n v="0"/>
    <x v="17"/>
    <x v="0"/>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m="1" x="4"/>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H47" sqref="H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Cavendish Road North</v>
      </c>
      <c r="C4" s="1" t="str">
        <f>Input!C31</f>
        <v>Northcote Road East</v>
      </c>
      <c r="D4" s="1" t="str">
        <f>Input!C42</f>
        <v>Northcote Road West</v>
      </c>
      <c r="E4" s="1">
        <f>Input!C53</f>
        <v>0</v>
      </c>
      <c r="F4" s="1">
        <f>Input!C64</f>
        <v>0</v>
      </c>
      <c r="G4" s="1">
        <f>Input!C75</f>
        <v>0</v>
      </c>
      <c r="H4" s="1">
        <f>Input!C86</f>
        <v>0</v>
      </c>
    </row>
    <row r="6" spans="2:8" x14ac:dyDescent="0.25">
      <c r="B6" t="s">
        <v>18</v>
      </c>
    </row>
    <row r="8" spans="2:8" x14ac:dyDescent="0.25">
      <c r="B8" s="1" t="str">
        <f>Input!C22</f>
        <v>Left into Northcote Road East</v>
      </c>
      <c r="C8" s="1" t="str">
        <f>Input!C33</f>
        <v>Thru to Northcote Road West</v>
      </c>
      <c r="D8" s="1" t="str">
        <f>Input!C44</f>
        <v>Left into Cavendish Road North</v>
      </c>
      <c r="E8" s="1">
        <f>Input!C55</f>
        <v>0</v>
      </c>
      <c r="F8" s="1">
        <f>Input!C66</f>
        <v>0</v>
      </c>
      <c r="G8" s="1">
        <f>Input!C77</f>
        <v>0</v>
      </c>
      <c r="H8" s="1">
        <f>Input!C88</f>
        <v>0</v>
      </c>
    </row>
    <row r="9" spans="2:8" x14ac:dyDescent="0.25">
      <c r="B9" s="1" t="str">
        <f>Input!C23</f>
        <v>Right into Northcote Road West</v>
      </c>
      <c r="C9" s="1" t="str">
        <f>Input!C34</f>
        <v>Right into Cavendish Road North</v>
      </c>
      <c r="D9" s="1" t="str">
        <f>Input!C45</f>
        <v>Thru to Northcote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Northcote Road East</v>
      </c>
      <c r="C18" s="1" t="str">
        <f>Input!E33</f>
        <v>Northcote Road West</v>
      </c>
      <c r="D18" s="1" t="str">
        <f>Input!E44</f>
        <v>Cavendish Road North</v>
      </c>
      <c r="E18" s="1">
        <f>Input!E55</f>
        <v>0</v>
      </c>
      <c r="F18" s="1">
        <f>Input!E66</f>
        <v>0</v>
      </c>
      <c r="G18" s="1">
        <f>Input!E77</f>
        <v>0</v>
      </c>
      <c r="H18" s="1">
        <f>Input!E88</f>
        <v>0</v>
      </c>
    </row>
    <row r="19" spans="2:8" x14ac:dyDescent="0.25">
      <c r="B19" s="1" t="str">
        <f>Input!E23</f>
        <v>Northcote Road West</v>
      </c>
      <c r="C19" s="1" t="str">
        <f>Input!E34</f>
        <v>Cavendish Road North</v>
      </c>
      <c r="D19" s="1" t="str">
        <f>Input!E45</f>
        <v>Northcote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31</v>
      </c>
      <c r="D8">
        <v>1</v>
      </c>
      <c r="E8">
        <v>2</v>
      </c>
      <c r="F8" s="28">
        <v>16</v>
      </c>
      <c r="G8">
        <v>0</v>
      </c>
      <c r="H8">
        <v>0</v>
      </c>
      <c r="I8" s="31">
        <v>273</v>
      </c>
      <c r="J8">
        <v>6</v>
      </c>
      <c r="K8">
        <v>0</v>
      </c>
      <c r="L8" s="28">
        <v>5</v>
      </c>
      <c r="M8">
        <v>1</v>
      </c>
      <c r="N8">
        <v>0</v>
      </c>
      <c r="O8" s="31">
        <v>4</v>
      </c>
      <c r="P8">
        <v>0</v>
      </c>
      <c r="Q8">
        <v>0</v>
      </c>
      <c r="R8" s="28">
        <v>132</v>
      </c>
      <c r="S8">
        <v>4</v>
      </c>
      <c r="T8" s="34">
        <v>0</v>
      </c>
    </row>
    <row r="9" spans="1:20" x14ac:dyDescent="0.25">
      <c r="A9" s="2" t="s">
        <v>43</v>
      </c>
      <c r="B9" s="7">
        <v>0.30208333333333331</v>
      </c>
      <c r="C9" s="31">
        <v>27</v>
      </c>
      <c r="D9">
        <v>1</v>
      </c>
      <c r="E9">
        <v>0</v>
      </c>
      <c r="F9" s="28">
        <v>18</v>
      </c>
      <c r="G9">
        <v>0</v>
      </c>
      <c r="H9">
        <v>0</v>
      </c>
      <c r="I9" s="31">
        <v>290</v>
      </c>
      <c r="J9">
        <v>5</v>
      </c>
      <c r="K9">
        <v>0</v>
      </c>
      <c r="L9" s="28">
        <v>5</v>
      </c>
      <c r="M9">
        <v>1</v>
      </c>
      <c r="N9">
        <v>0</v>
      </c>
      <c r="O9" s="31">
        <v>8</v>
      </c>
      <c r="P9">
        <v>0</v>
      </c>
      <c r="Q9">
        <v>0</v>
      </c>
      <c r="R9" s="28">
        <v>143</v>
      </c>
      <c r="S9">
        <v>8</v>
      </c>
      <c r="T9" s="34">
        <v>0</v>
      </c>
    </row>
    <row r="10" spans="1:20" x14ac:dyDescent="0.25">
      <c r="A10" s="2" t="s">
        <v>43</v>
      </c>
      <c r="B10" s="7">
        <v>0.3125</v>
      </c>
      <c r="C10" s="31">
        <v>39</v>
      </c>
      <c r="D10">
        <v>0</v>
      </c>
      <c r="E10">
        <v>0</v>
      </c>
      <c r="F10" s="28">
        <v>22</v>
      </c>
      <c r="G10">
        <v>0</v>
      </c>
      <c r="H10">
        <v>0</v>
      </c>
      <c r="I10" s="31">
        <v>296</v>
      </c>
      <c r="J10">
        <v>8</v>
      </c>
      <c r="K10">
        <v>1</v>
      </c>
      <c r="L10" s="28">
        <v>10</v>
      </c>
      <c r="M10">
        <v>1</v>
      </c>
      <c r="N10">
        <v>0</v>
      </c>
      <c r="O10" s="31">
        <v>8</v>
      </c>
      <c r="P10">
        <v>1</v>
      </c>
      <c r="Q10">
        <v>0</v>
      </c>
      <c r="R10" s="28">
        <v>193</v>
      </c>
      <c r="S10">
        <v>6</v>
      </c>
      <c r="T10" s="34">
        <v>0</v>
      </c>
    </row>
    <row r="11" spans="1:20" x14ac:dyDescent="0.25">
      <c r="A11" s="2" t="s">
        <v>43</v>
      </c>
      <c r="B11" s="7">
        <v>0.32291666666666669</v>
      </c>
      <c r="C11" s="31">
        <v>39</v>
      </c>
      <c r="D11">
        <v>1</v>
      </c>
      <c r="E11">
        <v>0</v>
      </c>
      <c r="F11" s="28">
        <v>41</v>
      </c>
      <c r="G11">
        <v>1</v>
      </c>
      <c r="H11">
        <v>0</v>
      </c>
      <c r="I11" s="31">
        <v>289</v>
      </c>
      <c r="J11">
        <v>4</v>
      </c>
      <c r="K11">
        <v>0</v>
      </c>
      <c r="L11" s="28">
        <v>8</v>
      </c>
      <c r="M11">
        <v>1</v>
      </c>
      <c r="N11">
        <v>0</v>
      </c>
      <c r="O11" s="31">
        <v>8</v>
      </c>
      <c r="P11">
        <v>0</v>
      </c>
      <c r="Q11">
        <v>0</v>
      </c>
      <c r="R11" s="28">
        <v>197</v>
      </c>
      <c r="S11">
        <v>12</v>
      </c>
      <c r="T11" s="34">
        <v>2</v>
      </c>
    </row>
    <row r="12" spans="1:20" x14ac:dyDescent="0.25">
      <c r="A12" s="2" t="s">
        <v>43</v>
      </c>
      <c r="B12" s="7">
        <v>0.33333333333333331</v>
      </c>
      <c r="C12" s="31">
        <v>54</v>
      </c>
      <c r="D12">
        <v>1</v>
      </c>
      <c r="E12">
        <v>1</v>
      </c>
      <c r="F12" s="28">
        <v>55</v>
      </c>
      <c r="G12">
        <v>0</v>
      </c>
      <c r="H12">
        <v>0</v>
      </c>
      <c r="I12" s="31">
        <v>228</v>
      </c>
      <c r="J12">
        <v>8</v>
      </c>
      <c r="K12">
        <v>0</v>
      </c>
      <c r="L12" s="28">
        <v>18</v>
      </c>
      <c r="M12">
        <v>0</v>
      </c>
      <c r="N12">
        <v>0</v>
      </c>
      <c r="O12" s="31">
        <v>13</v>
      </c>
      <c r="P12">
        <v>0</v>
      </c>
      <c r="Q12">
        <v>0</v>
      </c>
      <c r="R12" s="28">
        <v>190</v>
      </c>
      <c r="S12">
        <v>12</v>
      </c>
      <c r="T12" s="34">
        <v>2</v>
      </c>
    </row>
    <row r="13" spans="1:20" x14ac:dyDescent="0.25">
      <c r="A13" s="2" t="s">
        <v>43</v>
      </c>
      <c r="B13" s="7">
        <v>0.34375</v>
      </c>
      <c r="C13" s="31">
        <v>48</v>
      </c>
      <c r="D13">
        <v>3</v>
      </c>
      <c r="E13">
        <v>0</v>
      </c>
      <c r="F13" s="28">
        <v>35</v>
      </c>
      <c r="G13">
        <v>0</v>
      </c>
      <c r="H13">
        <v>0</v>
      </c>
      <c r="I13" s="31">
        <v>192</v>
      </c>
      <c r="J13">
        <v>8</v>
      </c>
      <c r="K13">
        <v>0</v>
      </c>
      <c r="L13" s="28">
        <v>25</v>
      </c>
      <c r="M13">
        <v>0</v>
      </c>
      <c r="N13">
        <v>0</v>
      </c>
      <c r="O13" s="31">
        <v>17</v>
      </c>
      <c r="P13">
        <v>1</v>
      </c>
      <c r="Q13">
        <v>0</v>
      </c>
      <c r="R13" s="28">
        <v>174</v>
      </c>
      <c r="S13">
        <v>12</v>
      </c>
      <c r="T13" s="34">
        <v>1</v>
      </c>
    </row>
    <row r="14" spans="1:20" x14ac:dyDescent="0.25">
      <c r="A14" s="2" t="s">
        <v>43</v>
      </c>
      <c r="B14" s="7">
        <v>0.35416666666666669</v>
      </c>
      <c r="C14" s="31">
        <v>33</v>
      </c>
      <c r="D14">
        <v>0</v>
      </c>
      <c r="E14">
        <v>0</v>
      </c>
      <c r="F14" s="28">
        <v>20</v>
      </c>
      <c r="G14">
        <v>0</v>
      </c>
      <c r="H14">
        <v>0</v>
      </c>
      <c r="I14" s="31">
        <v>232</v>
      </c>
      <c r="J14">
        <v>12</v>
      </c>
      <c r="K14">
        <v>0</v>
      </c>
      <c r="L14" s="28">
        <v>24</v>
      </c>
      <c r="M14">
        <v>1</v>
      </c>
      <c r="N14">
        <v>0</v>
      </c>
      <c r="O14" s="31">
        <v>16</v>
      </c>
      <c r="P14">
        <v>0</v>
      </c>
      <c r="Q14">
        <v>0</v>
      </c>
      <c r="R14" s="28">
        <v>199</v>
      </c>
      <c r="S14">
        <v>11</v>
      </c>
      <c r="T14" s="34">
        <v>0</v>
      </c>
    </row>
    <row r="15" spans="1:20" ht="15.75" thickBot="1" x14ac:dyDescent="0.3">
      <c r="A15" s="2" t="s">
        <v>43</v>
      </c>
      <c r="B15" s="7">
        <v>0.36458333333333331</v>
      </c>
      <c r="C15" s="31">
        <v>21</v>
      </c>
      <c r="D15">
        <v>0</v>
      </c>
      <c r="E15">
        <v>0</v>
      </c>
      <c r="F15" s="28">
        <v>11</v>
      </c>
      <c r="G15">
        <v>1</v>
      </c>
      <c r="H15">
        <v>0</v>
      </c>
      <c r="I15" s="31">
        <v>262</v>
      </c>
      <c r="J15">
        <v>16</v>
      </c>
      <c r="K15">
        <v>0</v>
      </c>
      <c r="L15" s="28">
        <v>28</v>
      </c>
      <c r="M15">
        <v>1</v>
      </c>
      <c r="N15">
        <v>0</v>
      </c>
      <c r="O15" s="31">
        <v>12</v>
      </c>
      <c r="P15">
        <v>0</v>
      </c>
      <c r="Q15">
        <v>0</v>
      </c>
      <c r="R15" s="28">
        <v>183</v>
      </c>
      <c r="S15">
        <v>4</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14</v>
      </c>
      <c r="D17">
        <v>3</v>
      </c>
      <c r="E17">
        <v>0</v>
      </c>
      <c r="F17" s="28">
        <v>5</v>
      </c>
      <c r="G17">
        <v>0</v>
      </c>
      <c r="H17">
        <v>0</v>
      </c>
      <c r="I17" s="31">
        <v>136</v>
      </c>
      <c r="J17">
        <v>8</v>
      </c>
      <c r="K17">
        <v>0</v>
      </c>
      <c r="L17" s="28">
        <v>17</v>
      </c>
      <c r="M17">
        <v>0</v>
      </c>
      <c r="N17">
        <v>0</v>
      </c>
      <c r="O17" s="31">
        <v>12</v>
      </c>
      <c r="P17">
        <v>0</v>
      </c>
      <c r="Q17">
        <v>0</v>
      </c>
      <c r="R17" s="28">
        <v>143</v>
      </c>
      <c r="S17">
        <v>14</v>
      </c>
      <c r="T17" s="34">
        <v>0</v>
      </c>
    </row>
    <row r="18" spans="1:20" x14ac:dyDescent="0.25">
      <c r="A18" s="2" t="s">
        <v>90</v>
      </c>
      <c r="B18" s="7">
        <v>0.55208333333333337</v>
      </c>
      <c r="C18" s="31">
        <v>15</v>
      </c>
      <c r="D18">
        <v>1</v>
      </c>
      <c r="E18">
        <v>0</v>
      </c>
      <c r="F18" s="28">
        <v>16</v>
      </c>
      <c r="G18">
        <v>0</v>
      </c>
      <c r="H18">
        <v>0</v>
      </c>
      <c r="I18" s="31">
        <v>139</v>
      </c>
      <c r="J18">
        <v>15</v>
      </c>
      <c r="K18">
        <v>0</v>
      </c>
      <c r="L18" s="28">
        <v>19</v>
      </c>
      <c r="M18">
        <v>1</v>
      </c>
      <c r="N18">
        <v>0</v>
      </c>
      <c r="O18" s="31">
        <v>11</v>
      </c>
      <c r="P18">
        <v>0</v>
      </c>
      <c r="Q18">
        <v>0</v>
      </c>
      <c r="R18" s="28">
        <v>153</v>
      </c>
      <c r="S18">
        <v>16</v>
      </c>
      <c r="T18" s="34">
        <v>0</v>
      </c>
    </row>
    <row r="19" spans="1:20" x14ac:dyDescent="0.25">
      <c r="A19" s="2" t="s">
        <v>90</v>
      </c>
      <c r="B19" s="7">
        <v>0.5625</v>
      </c>
      <c r="C19" s="31">
        <v>14</v>
      </c>
      <c r="D19">
        <v>0</v>
      </c>
      <c r="E19">
        <v>0</v>
      </c>
      <c r="F19" s="28">
        <v>14</v>
      </c>
      <c r="G19">
        <v>1</v>
      </c>
      <c r="H19">
        <v>0</v>
      </c>
      <c r="I19" s="31">
        <v>144</v>
      </c>
      <c r="J19">
        <v>7</v>
      </c>
      <c r="K19">
        <v>0</v>
      </c>
      <c r="L19" s="28">
        <v>22</v>
      </c>
      <c r="M19">
        <v>1</v>
      </c>
      <c r="N19">
        <v>0</v>
      </c>
      <c r="O19" s="31">
        <v>12</v>
      </c>
      <c r="P19">
        <v>0</v>
      </c>
      <c r="Q19">
        <v>0</v>
      </c>
      <c r="R19" s="28">
        <v>138</v>
      </c>
      <c r="S19">
        <v>9</v>
      </c>
      <c r="T19" s="34">
        <v>0</v>
      </c>
    </row>
    <row r="20" spans="1:20" ht="15.75" thickBot="1" x14ac:dyDescent="0.3">
      <c r="A20" s="2" t="s">
        <v>90</v>
      </c>
      <c r="B20" s="7">
        <v>0.57291666666666663</v>
      </c>
      <c r="C20" s="31">
        <v>26</v>
      </c>
      <c r="D20">
        <v>0</v>
      </c>
      <c r="E20">
        <v>0</v>
      </c>
      <c r="F20" s="28">
        <v>11</v>
      </c>
      <c r="G20">
        <v>0</v>
      </c>
      <c r="H20">
        <v>0</v>
      </c>
      <c r="I20" s="31">
        <v>157</v>
      </c>
      <c r="J20">
        <v>7</v>
      </c>
      <c r="K20">
        <v>0</v>
      </c>
      <c r="L20" s="28">
        <v>23</v>
      </c>
      <c r="M20">
        <v>0</v>
      </c>
      <c r="N20">
        <v>0</v>
      </c>
      <c r="O20" s="31">
        <v>9</v>
      </c>
      <c r="P20">
        <v>1</v>
      </c>
      <c r="Q20">
        <v>0</v>
      </c>
      <c r="R20" s="28">
        <v>155</v>
      </c>
      <c r="S20">
        <v>8</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25</v>
      </c>
      <c r="D22">
        <v>1</v>
      </c>
      <c r="E22">
        <v>0</v>
      </c>
      <c r="F22" s="28">
        <v>12</v>
      </c>
      <c r="G22">
        <v>0</v>
      </c>
      <c r="H22">
        <v>0</v>
      </c>
      <c r="I22" s="31">
        <v>184</v>
      </c>
      <c r="J22">
        <v>6</v>
      </c>
      <c r="K22">
        <v>0</v>
      </c>
      <c r="L22" s="28">
        <v>28</v>
      </c>
      <c r="M22">
        <v>0</v>
      </c>
      <c r="N22">
        <v>0</v>
      </c>
      <c r="O22" s="31">
        <v>17</v>
      </c>
      <c r="P22">
        <v>0</v>
      </c>
      <c r="Q22">
        <v>0</v>
      </c>
      <c r="R22" s="28">
        <v>301</v>
      </c>
      <c r="S22">
        <v>2</v>
      </c>
      <c r="T22" s="34">
        <v>0</v>
      </c>
    </row>
    <row r="23" spans="1:20" x14ac:dyDescent="0.25">
      <c r="A23" s="2" t="s">
        <v>44</v>
      </c>
      <c r="B23" s="7">
        <v>0.67708333333333337</v>
      </c>
      <c r="C23" s="31">
        <v>16</v>
      </c>
      <c r="D23">
        <v>0</v>
      </c>
      <c r="E23">
        <v>0</v>
      </c>
      <c r="F23" s="28">
        <v>9</v>
      </c>
      <c r="G23">
        <v>0</v>
      </c>
      <c r="H23">
        <v>0</v>
      </c>
      <c r="I23" s="31">
        <v>208</v>
      </c>
      <c r="J23">
        <v>5</v>
      </c>
      <c r="K23">
        <v>0</v>
      </c>
      <c r="L23" s="28">
        <v>35</v>
      </c>
      <c r="M23">
        <v>1</v>
      </c>
      <c r="N23">
        <v>2</v>
      </c>
      <c r="O23" s="31">
        <v>21</v>
      </c>
      <c r="P23">
        <v>0</v>
      </c>
      <c r="Q23">
        <v>0</v>
      </c>
      <c r="R23" s="28">
        <v>261</v>
      </c>
      <c r="S23">
        <v>4</v>
      </c>
      <c r="T23" s="34">
        <v>1</v>
      </c>
    </row>
    <row r="24" spans="1:20" x14ac:dyDescent="0.25">
      <c r="A24" s="2" t="s">
        <v>44</v>
      </c>
      <c r="B24" s="7">
        <v>0.6875</v>
      </c>
      <c r="C24" s="31">
        <v>23</v>
      </c>
      <c r="D24">
        <v>1</v>
      </c>
      <c r="E24">
        <v>0</v>
      </c>
      <c r="F24" s="28">
        <v>2</v>
      </c>
      <c r="G24">
        <v>1</v>
      </c>
      <c r="H24">
        <v>0</v>
      </c>
      <c r="I24" s="31">
        <v>248</v>
      </c>
      <c r="J24">
        <v>7</v>
      </c>
      <c r="K24">
        <v>0</v>
      </c>
      <c r="L24" s="28">
        <v>34</v>
      </c>
      <c r="M24">
        <v>0</v>
      </c>
      <c r="N24">
        <v>0</v>
      </c>
      <c r="O24" s="31">
        <v>11</v>
      </c>
      <c r="P24">
        <v>0</v>
      </c>
      <c r="Q24">
        <v>0</v>
      </c>
      <c r="R24" s="28">
        <v>298</v>
      </c>
      <c r="S24">
        <v>2</v>
      </c>
      <c r="T24" s="34">
        <v>2</v>
      </c>
    </row>
    <row r="25" spans="1:20" x14ac:dyDescent="0.25">
      <c r="A25" s="2" t="s">
        <v>44</v>
      </c>
      <c r="B25" s="7">
        <v>0.69791666666666663</v>
      </c>
      <c r="C25" s="31">
        <v>19</v>
      </c>
      <c r="D25">
        <v>0</v>
      </c>
      <c r="E25">
        <v>0</v>
      </c>
      <c r="F25" s="28">
        <v>5</v>
      </c>
      <c r="G25">
        <v>0</v>
      </c>
      <c r="H25">
        <v>0</v>
      </c>
      <c r="I25" s="31">
        <v>227</v>
      </c>
      <c r="J25">
        <v>2</v>
      </c>
      <c r="K25">
        <v>0</v>
      </c>
      <c r="L25" s="28">
        <v>39</v>
      </c>
      <c r="M25">
        <v>0</v>
      </c>
      <c r="N25">
        <v>0</v>
      </c>
      <c r="O25" s="31">
        <v>20</v>
      </c>
      <c r="P25">
        <v>0</v>
      </c>
      <c r="Q25">
        <v>0</v>
      </c>
      <c r="R25" s="28">
        <v>314</v>
      </c>
      <c r="S25">
        <v>3</v>
      </c>
      <c r="T25" s="34">
        <v>0</v>
      </c>
    </row>
    <row r="26" spans="1:20" x14ac:dyDescent="0.25">
      <c r="A26" s="2" t="s">
        <v>44</v>
      </c>
      <c r="B26" s="7">
        <v>0.70833333333333337</v>
      </c>
      <c r="C26" s="31">
        <v>18</v>
      </c>
      <c r="D26">
        <v>1</v>
      </c>
      <c r="E26">
        <v>0</v>
      </c>
      <c r="F26" s="28">
        <v>9</v>
      </c>
      <c r="G26">
        <v>0</v>
      </c>
      <c r="H26">
        <v>0</v>
      </c>
      <c r="I26" s="31">
        <v>203</v>
      </c>
      <c r="J26">
        <v>4</v>
      </c>
      <c r="K26">
        <v>1</v>
      </c>
      <c r="L26" s="28">
        <v>43</v>
      </c>
      <c r="M26">
        <v>0</v>
      </c>
      <c r="N26">
        <v>0</v>
      </c>
      <c r="O26" s="31">
        <v>26</v>
      </c>
      <c r="P26">
        <v>0</v>
      </c>
      <c r="Q26">
        <v>0</v>
      </c>
      <c r="R26" s="28">
        <v>245</v>
      </c>
      <c r="S26">
        <v>5</v>
      </c>
      <c r="T26" s="34">
        <v>0</v>
      </c>
    </row>
    <row r="27" spans="1:20" x14ac:dyDescent="0.25">
      <c r="A27" s="2" t="s">
        <v>44</v>
      </c>
      <c r="B27" s="7">
        <v>0.71875</v>
      </c>
      <c r="C27" s="31">
        <v>27</v>
      </c>
      <c r="D27">
        <v>0</v>
      </c>
      <c r="E27">
        <v>0</v>
      </c>
      <c r="F27" s="28">
        <v>8</v>
      </c>
      <c r="G27">
        <v>0</v>
      </c>
      <c r="H27">
        <v>0</v>
      </c>
      <c r="I27" s="31">
        <v>195</v>
      </c>
      <c r="J27">
        <v>2</v>
      </c>
      <c r="K27">
        <v>0</v>
      </c>
      <c r="L27" s="28">
        <v>51</v>
      </c>
      <c r="M27">
        <v>1</v>
      </c>
      <c r="N27">
        <v>0</v>
      </c>
      <c r="O27" s="31">
        <v>31</v>
      </c>
      <c r="P27">
        <v>0</v>
      </c>
      <c r="Q27">
        <v>0</v>
      </c>
      <c r="R27" s="28">
        <v>240</v>
      </c>
      <c r="S27">
        <v>0</v>
      </c>
      <c r="T27" s="34">
        <v>0</v>
      </c>
    </row>
    <row r="28" spans="1:20" x14ac:dyDescent="0.25">
      <c r="A28" s="2" t="s">
        <v>44</v>
      </c>
      <c r="B28" s="7">
        <v>0.72916666666666663</v>
      </c>
      <c r="C28" s="31">
        <v>13</v>
      </c>
      <c r="D28">
        <v>1</v>
      </c>
      <c r="E28">
        <v>0</v>
      </c>
      <c r="F28" s="28">
        <v>7</v>
      </c>
      <c r="G28">
        <v>0</v>
      </c>
      <c r="H28">
        <v>0</v>
      </c>
      <c r="I28" s="31">
        <v>175</v>
      </c>
      <c r="J28">
        <v>4</v>
      </c>
      <c r="K28">
        <v>0</v>
      </c>
      <c r="L28" s="28">
        <v>50</v>
      </c>
      <c r="M28">
        <v>0</v>
      </c>
      <c r="N28">
        <v>1</v>
      </c>
      <c r="O28" s="31">
        <v>21</v>
      </c>
      <c r="P28">
        <v>0</v>
      </c>
      <c r="Q28">
        <v>0</v>
      </c>
      <c r="R28" s="28">
        <v>240</v>
      </c>
      <c r="S28">
        <v>3</v>
      </c>
      <c r="T28" s="34">
        <v>1</v>
      </c>
    </row>
    <row r="29" spans="1:20" ht="15.75" thickBot="1" x14ac:dyDescent="0.3">
      <c r="A29" s="21" t="s">
        <v>44</v>
      </c>
      <c r="B29" s="48">
        <v>0.73958333333333337</v>
      </c>
      <c r="C29" s="39">
        <v>14</v>
      </c>
      <c r="D29" s="38">
        <v>0</v>
      </c>
      <c r="E29" s="38">
        <v>0</v>
      </c>
      <c r="F29" s="40">
        <v>8</v>
      </c>
      <c r="G29" s="38">
        <v>0</v>
      </c>
      <c r="H29" s="38">
        <v>0</v>
      </c>
      <c r="I29" s="39">
        <v>154</v>
      </c>
      <c r="J29" s="38">
        <v>0</v>
      </c>
      <c r="K29" s="38">
        <v>0</v>
      </c>
      <c r="L29" s="40">
        <v>37</v>
      </c>
      <c r="M29" s="38">
        <v>0</v>
      </c>
      <c r="N29" s="38">
        <v>0</v>
      </c>
      <c r="O29" s="39">
        <v>14</v>
      </c>
      <c r="P29" s="38">
        <v>0</v>
      </c>
      <c r="Q29" s="38">
        <v>0</v>
      </c>
      <c r="R29" s="40">
        <v>177</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31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27</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39</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39</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54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48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33</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21</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14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15</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14</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26</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25</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16</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23</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18</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27</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14</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3</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16</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22</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41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55</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35</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20</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11</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16</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14</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12</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9</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2</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9</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8</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8</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273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290</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296</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289</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228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192</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232</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262</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136</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139</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144</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157</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184</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208</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248</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227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203</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195</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175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154</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5</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8</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4</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8</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8</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12</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16</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8</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15</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7</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7</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6</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5</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7</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4</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2</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4</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1</v>
      </c>
      <c r="H164" s="6">
        <f>FLOOR(tblPivotData[[#This Row],[Time]],Summary!$B$6/1440)</f>
        <v>0.3125</v>
      </c>
      <c r="I164" s="49">
        <f>INDEX(PeakCalc!$L$10:$L$303,MATCH(tblPivotData[[#This Row],[Time]],PeakCalc!$G$10:$G$303,0))</f>
        <v>1</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1</v>
      </c>
      <c r="H178" s="6">
        <f>FLOOR(tblPivotData[[#This Row],[Time]],Summary!$B$6/1440)</f>
        <v>0.70833333333333326</v>
      </c>
      <c r="I178" s="49">
        <f>INDEX(PeakCalc!$L$10:$L$303,MATCH(tblPivotData[[#This Row],[Time]],PeakCalc!$G$10:$G$303,0))</f>
        <v>0</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10</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8</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18</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25</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24</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28</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17</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22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23</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28</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35</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34</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39</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43</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51</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50</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37</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1</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1</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91</v>
      </c>
      <c r="E235" t="s">
        <v>44</v>
      </c>
      <c r="F235" s="6">
        <v>0.67708333333333337</v>
      </c>
      <c r="G235">
        <v>2</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8</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8</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17</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16</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12</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17</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21</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11</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26</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31</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21</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14</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1</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132</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143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193</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197</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190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174</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199</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183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143</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153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138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155</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301</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261</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298</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314</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245</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240</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240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177</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4</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8</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6</v>
      </c>
      <c r="H324" s="6">
        <f>FLOOR(tblPivotData[[#This Row],[Time]],Summary!$B$6/1440)</f>
        <v>0.3125</v>
      </c>
      <c r="I324" s="49">
        <f>INDEX(PeakCalc!$L$10:$L$303,MATCH(tblPivotData[[#This Row],[Time]],PeakCalc!$G$10:$G$303,0))</f>
        <v>1</v>
      </c>
    </row>
    <row r="325" spans="1:9" x14ac:dyDescent="0.25">
      <c r="A325" t="s">
        <v>95</v>
      </c>
      <c r="B325" t="s">
        <v>101</v>
      </c>
      <c r="C325" t="s">
        <v>94</v>
      </c>
      <c r="D325" t="s">
        <v>89</v>
      </c>
      <c r="E325" t="s">
        <v>43</v>
      </c>
      <c r="F325" s="6">
        <v>0.32291666666666669</v>
      </c>
      <c r="G325">
        <v>12</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12</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11</v>
      </c>
      <c r="H328" s="6">
        <f>FLOOR(tblPivotData[[#This Row],[Time]],Summary!$B$6/1440)</f>
        <v>0.35416666666666663</v>
      </c>
      <c r="I328" s="49">
        <f>INDEX(PeakCalc!$L$10:$L$303,MATCH(tblPivotData[[#This Row],[Time]],PeakCalc!$G$10:$G$303,0))</f>
        <v>0</v>
      </c>
    </row>
    <row r="329" spans="1:9" x14ac:dyDescent="0.25">
      <c r="A329" t="s">
        <v>95</v>
      </c>
      <c r="B329" t="s">
        <v>101</v>
      </c>
      <c r="C329" t="s">
        <v>94</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14</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16</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9</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8</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2</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4</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5</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91</v>
      </c>
      <c r="E345" t="s">
        <v>43</v>
      </c>
      <c r="F345" s="6">
        <v>0.32291666666666669</v>
      </c>
      <c r="G345">
        <v>2</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91</v>
      </c>
      <c r="E355" t="s">
        <v>44</v>
      </c>
      <c r="F355" s="6">
        <v>0.67708333333333337</v>
      </c>
      <c r="G355">
        <v>1</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2</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292</v>
      </c>
      <c r="D14" s="49">
        <v>7</v>
      </c>
      <c r="E14" s="49">
        <v>3</v>
      </c>
      <c r="F14" s="49">
        <v>302</v>
      </c>
      <c r="G14" s="49">
        <v>218</v>
      </c>
      <c r="H14" s="49">
        <v>2</v>
      </c>
      <c r="I14" s="49">
        <v>0</v>
      </c>
      <c r="J14" s="49">
        <v>220</v>
      </c>
      <c r="K14" s="49">
        <v>522</v>
      </c>
      <c r="L14" s="49">
        <v>2062</v>
      </c>
      <c r="M14" s="49">
        <v>67</v>
      </c>
      <c r="N14" s="49">
        <v>1</v>
      </c>
      <c r="O14" s="49">
        <v>2130</v>
      </c>
      <c r="P14" s="49">
        <v>123</v>
      </c>
      <c r="Q14" s="49">
        <v>6</v>
      </c>
      <c r="R14" s="49">
        <v>0</v>
      </c>
      <c r="S14" s="49">
        <v>129</v>
      </c>
      <c r="T14" s="49">
        <v>2259</v>
      </c>
      <c r="U14" s="49">
        <v>86</v>
      </c>
      <c r="V14" s="49">
        <v>2</v>
      </c>
      <c r="W14" s="49">
        <v>0</v>
      </c>
      <c r="X14" s="49">
        <v>88</v>
      </c>
      <c r="Y14" s="49">
        <v>1411</v>
      </c>
      <c r="Z14" s="49">
        <v>69</v>
      </c>
      <c r="AA14" s="49">
        <v>5</v>
      </c>
      <c r="AB14" s="49">
        <v>1485</v>
      </c>
      <c r="AC14" s="49">
        <v>1573</v>
      </c>
      <c r="AD14" s="49">
        <v>4354</v>
      </c>
    </row>
    <row r="15" spans="2:30" x14ac:dyDescent="0.25">
      <c r="B15" s="11">
        <v>0.29166666666666669</v>
      </c>
      <c r="C15" s="49">
        <v>31</v>
      </c>
      <c r="D15" s="49">
        <v>1</v>
      </c>
      <c r="E15" s="49">
        <v>2</v>
      </c>
      <c r="F15" s="49">
        <v>34</v>
      </c>
      <c r="G15" s="49">
        <v>16</v>
      </c>
      <c r="H15" s="49">
        <v>0</v>
      </c>
      <c r="I15" s="49">
        <v>0</v>
      </c>
      <c r="J15" s="49">
        <v>16</v>
      </c>
      <c r="K15" s="49">
        <v>50</v>
      </c>
      <c r="L15" s="49">
        <v>273</v>
      </c>
      <c r="M15" s="49">
        <v>6</v>
      </c>
      <c r="N15" s="49">
        <v>0</v>
      </c>
      <c r="O15" s="49">
        <v>279</v>
      </c>
      <c r="P15" s="49">
        <v>5</v>
      </c>
      <c r="Q15" s="49">
        <v>1</v>
      </c>
      <c r="R15" s="49">
        <v>0</v>
      </c>
      <c r="S15" s="49">
        <v>6</v>
      </c>
      <c r="T15" s="49">
        <v>285</v>
      </c>
      <c r="U15" s="49">
        <v>4</v>
      </c>
      <c r="V15" s="49">
        <v>0</v>
      </c>
      <c r="W15" s="49">
        <v>0</v>
      </c>
      <c r="X15" s="49">
        <v>4</v>
      </c>
      <c r="Y15" s="49">
        <v>132</v>
      </c>
      <c r="Z15" s="49">
        <v>4</v>
      </c>
      <c r="AA15" s="49">
        <v>0</v>
      </c>
      <c r="AB15" s="49">
        <v>136</v>
      </c>
      <c r="AC15" s="49">
        <v>140</v>
      </c>
      <c r="AD15" s="49">
        <v>475</v>
      </c>
    </row>
    <row r="16" spans="2:30" x14ac:dyDescent="0.25">
      <c r="B16" s="11">
        <v>0.30208333333333331</v>
      </c>
      <c r="C16" s="49">
        <v>27</v>
      </c>
      <c r="D16" s="49">
        <v>1</v>
      </c>
      <c r="E16" s="49">
        <v>0</v>
      </c>
      <c r="F16" s="49">
        <v>28</v>
      </c>
      <c r="G16" s="49">
        <v>18</v>
      </c>
      <c r="H16" s="49">
        <v>0</v>
      </c>
      <c r="I16" s="49">
        <v>0</v>
      </c>
      <c r="J16" s="49">
        <v>18</v>
      </c>
      <c r="K16" s="49">
        <v>46</v>
      </c>
      <c r="L16" s="49">
        <v>290</v>
      </c>
      <c r="M16" s="49">
        <v>5</v>
      </c>
      <c r="N16" s="49">
        <v>0</v>
      </c>
      <c r="O16" s="49">
        <v>295</v>
      </c>
      <c r="P16" s="49">
        <v>5</v>
      </c>
      <c r="Q16" s="49">
        <v>1</v>
      </c>
      <c r="R16" s="49">
        <v>0</v>
      </c>
      <c r="S16" s="49">
        <v>6</v>
      </c>
      <c r="T16" s="49">
        <v>301</v>
      </c>
      <c r="U16" s="49">
        <v>8</v>
      </c>
      <c r="V16" s="49">
        <v>0</v>
      </c>
      <c r="W16" s="49">
        <v>0</v>
      </c>
      <c r="X16" s="49">
        <v>8</v>
      </c>
      <c r="Y16" s="49">
        <v>143</v>
      </c>
      <c r="Z16" s="49">
        <v>8</v>
      </c>
      <c r="AA16" s="49">
        <v>0</v>
      </c>
      <c r="AB16" s="49">
        <v>151</v>
      </c>
      <c r="AC16" s="49">
        <v>159</v>
      </c>
      <c r="AD16" s="49">
        <v>506</v>
      </c>
    </row>
    <row r="17" spans="2:30" x14ac:dyDescent="0.25">
      <c r="B17" s="11">
        <v>0.3125</v>
      </c>
      <c r="C17" s="49">
        <v>39</v>
      </c>
      <c r="D17" s="49">
        <v>0</v>
      </c>
      <c r="E17" s="49">
        <v>0</v>
      </c>
      <c r="F17" s="49">
        <v>39</v>
      </c>
      <c r="G17" s="49">
        <v>22</v>
      </c>
      <c r="H17" s="49">
        <v>0</v>
      </c>
      <c r="I17" s="49">
        <v>0</v>
      </c>
      <c r="J17" s="49">
        <v>22</v>
      </c>
      <c r="K17" s="49">
        <v>61</v>
      </c>
      <c r="L17" s="49">
        <v>296</v>
      </c>
      <c r="M17" s="49">
        <v>8</v>
      </c>
      <c r="N17" s="49">
        <v>1</v>
      </c>
      <c r="O17" s="49">
        <v>305</v>
      </c>
      <c r="P17" s="49">
        <v>10</v>
      </c>
      <c r="Q17" s="49">
        <v>1</v>
      </c>
      <c r="R17" s="49">
        <v>0</v>
      </c>
      <c r="S17" s="49">
        <v>11</v>
      </c>
      <c r="T17" s="49">
        <v>316</v>
      </c>
      <c r="U17" s="49">
        <v>8</v>
      </c>
      <c r="V17" s="49">
        <v>1</v>
      </c>
      <c r="W17" s="49">
        <v>0</v>
      </c>
      <c r="X17" s="49">
        <v>9</v>
      </c>
      <c r="Y17" s="49">
        <v>193</v>
      </c>
      <c r="Z17" s="49">
        <v>6</v>
      </c>
      <c r="AA17" s="49">
        <v>0</v>
      </c>
      <c r="AB17" s="49">
        <v>199</v>
      </c>
      <c r="AC17" s="49">
        <v>208</v>
      </c>
      <c r="AD17" s="49">
        <v>585</v>
      </c>
    </row>
    <row r="18" spans="2:30" x14ac:dyDescent="0.25">
      <c r="B18" s="11">
        <v>0.32291666666666669</v>
      </c>
      <c r="C18" s="49">
        <v>39</v>
      </c>
      <c r="D18" s="49">
        <v>1</v>
      </c>
      <c r="E18" s="49">
        <v>0</v>
      </c>
      <c r="F18" s="49">
        <v>40</v>
      </c>
      <c r="G18" s="49">
        <v>41</v>
      </c>
      <c r="H18" s="49">
        <v>1</v>
      </c>
      <c r="I18" s="49">
        <v>0</v>
      </c>
      <c r="J18" s="49">
        <v>42</v>
      </c>
      <c r="K18" s="49">
        <v>82</v>
      </c>
      <c r="L18" s="49">
        <v>289</v>
      </c>
      <c r="M18" s="49">
        <v>4</v>
      </c>
      <c r="N18" s="49">
        <v>0</v>
      </c>
      <c r="O18" s="49">
        <v>293</v>
      </c>
      <c r="P18" s="49">
        <v>8</v>
      </c>
      <c r="Q18" s="49">
        <v>1</v>
      </c>
      <c r="R18" s="49">
        <v>0</v>
      </c>
      <c r="S18" s="49">
        <v>9</v>
      </c>
      <c r="T18" s="49">
        <v>302</v>
      </c>
      <c r="U18" s="49">
        <v>8</v>
      </c>
      <c r="V18" s="49">
        <v>0</v>
      </c>
      <c r="W18" s="49">
        <v>0</v>
      </c>
      <c r="X18" s="49">
        <v>8</v>
      </c>
      <c r="Y18" s="49">
        <v>197</v>
      </c>
      <c r="Z18" s="49">
        <v>12</v>
      </c>
      <c r="AA18" s="49">
        <v>2</v>
      </c>
      <c r="AB18" s="49">
        <v>211</v>
      </c>
      <c r="AC18" s="49">
        <v>219</v>
      </c>
      <c r="AD18" s="49">
        <v>603</v>
      </c>
    </row>
    <row r="19" spans="2:30" x14ac:dyDescent="0.25">
      <c r="B19" s="11">
        <v>0.33333333333333331</v>
      </c>
      <c r="C19" s="49">
        <v>54</v>
      </c>
      <c r="D19" s="49">
        <v>1</v>
      </c>
      <c r="E19" s="49">
        <v>1</v>
      </c>
      <c r="F19" s="49">
        <v>56</v>
      </c>
      <c r="G19" s="49">
        <v>55</v>
      </c>
      <c r="H19" s="49">
        <v>0</v>
      </c>
      <c r="I19" s="49">
        <v>0</v>
      </c>
      <c r="J19" s="49">
        <v>55</v>
      </c>
      <c r="K19" s="49">
        <v>111</v>
      </c>
      <c r="L19" s="49">
        <v>228</v>
      </c>
      <c r="M19" s="49">
        <v>8</v>
      </c>
      <c r="N19" s="49">
        <v>0</v>
      </c>
      <c r="O19" s="49">
        <v>236</v>
      </c>
      <c r="P19" s="49">
        <v>18</v>
      </c>
      <c r="Q19" s="49">
        <v>0</v>
      </c>
      <c r="R19" s="49">
        <v>0</v>
      </c>
      <c r="S19" s="49">
        <v>18</v>
      </c>
      <c r="T19" s="49">
        <v>254</v>
      </c>
      <c r="U19" s="49">
        <v>13</v>
      </c>
      <c r="V19" s="49">
        <v>0</v>
      </c>
      <c r="W19" s="49">
        <v>0</v>
      </c>
      <c r="X19" s="49">
        <v>13</v>
      </c>
      <c r="Y19" s="49">
        <v>190</v>
      </c>
      <c r="Z19" s="49">
        <v>12</v>
      </c>
      <c r="AA19" s="49">
        <v>2</v>
      </c>
      <c r="AB19" s="49">
        <v>204</v>
      </c>
      <c r="AC19" s="49">
        <v>217</v>
      </c>
      <c r="AD19" s="49">
        <v>582</v>
      </c>
    </row>
    <row r="20" spans="2:30" x14ac:dyDescent="0.25">
      <c r="B20" s="11">
        <v>0.34375</v>
      </c>
      <c r="C20" s="49">
        <v>48</v>
      </c>
      <c r="D20" s="49">
        <v>3</v>
      </c>
      <c r="E20" s="49">
        <v>0</v>
      </c>
      <c r="F20" s="49">
        <v>51</v>
      </c>
      <c r="G20" s="49">
        <v>35</v>
      </c>
      <c r="H20" s="49">
        <v>0</v>
      </c>
      <c r="I20" s="49">
        <v>0</v>
      </c>
      <c r="J20" s="49">
        <v>35</v>
      </c>
      <c r="K20" s="49">
        <v>86</v>
      </c>
      <c r="L20" s="49">
        <v>192</v>
      </c>
      <c r="M20" s="49">
        <v>8</v>
      </c>
      <c r="N20" s="49">
        <v>0</v>
      </c>
      <c r="O20" s="49">
        <v>200</v>
      </c>
      <c r="P20" s="49">
        <v>25</v>
      </c>
      <c r="Q20" s="49">
        <v>0</v>
      </c>
      <c r="R20" s="49">
        <v>0</v>
      </c>
      <c r="S20" s="49">
        <v>25</v>
      </c>
      <c r="T20" s="49">
        <v>225</v>
      </c>
      <c r="U20" s="49">
        <v>17</v>
      </c>
      <c r="V20" s="49">
        <v>1</v>
      </c>
      <c r="W20" s="49">
        <v>0</v>
      </c>
      <c r="X20" s="49">
        <v>18</v>
      </c>
      <c r="Y20" s="49">
        <v>174</v>
      </c>
      <c r="Z20" s="49">
        <v>12</v>
      </c>
      <c r="AA20" s="49">
        <v>1</v>
      </c>
      <c r="AB20" s="49">
        <v>187</v>
      </c>
      <c r="AC20" s="49">
        <v>205</v>
      </c>
      <c r="AD20" s="49">
        <v>516</v>
      </c>
    </row>
    <row r="21" spans="2:30" x14ac:dyDescent="0.25">
      <c r="B21" s="11">
        <v>0.35416666666666669</v>
      </c>
      <c r="C21" s="49">
        <v>33</v>
      </c>
      <c r="D21" s="49">
        <v>0</v>
      </c>
      <c r="E21" s="49">
        <v>0</v>
      </c>
      <c r="F21" s="49">
        <v>33</v>
      </c>
      <c r="G21" s="49">
        <v>20</v>
      </c>
      <c r="H21" s="49">
        <v>0</v>
      </c>
      <c r="I21" s="49">
        <v>0</v>
      </c>
      <c r="J21" s="49">
        <v>20</v>
      </c>
      <c r="K21" s="49">
        <v>53</v>
      </c>
      <c r="L21" s="49">
        <v>232</v>
      </c>
      <c r="M21" s="49">
        <v>12</v>
      </c>
      <c r="N21" s="49">
        <v>0</v>
      </c>
      <c r="O21" s="49">
        <v>244</v>
      </c>
      <c r="P21" s="49">
        <v>24</v>
      </c>
      <c r="Q21" s="49">
        <v>1</v>
      </c>
      <c r="R21" s="49">
        <v>0</v>
      </c>
      <c r="S21" s="49">
        <v>25</v>
      </c>
      <c r="T21" s="49">
        <v>269</v>
      </c>
      <c r="U21" s="49">
        <v>16</v>
      </c>
      <c r="V21" s="49">
        <v>0</v>
      </c>
      <c r="W21" s="49">
        <v>0</v>
      </c>
      <c r="X21" s="49">
        <v>16</v>
      </c>
      <c r="Y21" s="49">
        <v>199</v>
      </c>
      <c r="Z21" s="49">
        <v>11</v>
      </c>
      <c r="AA21" s="49">
        <v>0</v>
      </c>
      <c r="AB21" s="49">
        <v>210</v>
      </c>
      <c r="AC21" s="49">
        <v>226</v>
      </c>
      <c r="AD21" s="49">
        <v>548</v>
      </c>
    </row>
    <row r="22" spans="2:30" x14ac:dyDescent="0.25">
      <c r="B22" s="11">
        <v>0.36458333333333331</v>
      </c>
      <c r="C22" s="49">
        <v>21</v>
      </c>
      <c r="D22" s="49">
        <v>0</v>
      </c>
      <c r="E22" s="49">
        <v>0</v>
      </c>
      <c r="F22" s="49">
        <v>21</v>
      </c>
      <c r="G22" s="49">
        <v>11</v>
      </c>
      <c r="H22" s="49">
        <v>1</v>
      </c>
      <c r="I22" s="49">
        <v>0</v>
      </c>
      <c r="J22" s="49">
        <v>12</v>
      </c>
      <c r="K22" s="49">
        <v>33</v>
      </c>
      <c r="L22" s="49">
        <v>262</v>
      </c>
      <c r="M22" s="49">
        <v>16</v>
      </c>
      <c r="N22" s="49">
        <v>0</v>
      </c>
      <c r="O22" s="49">
        <v>278</v>
      </c>
      <c r="P22" s="49">
        <v>28</v>
      </c>
      <c r="Q22" s="49">
        <v>1</v>
      </c>
      <c r="R22" s="49">
        <v>0</v>
      </c>
      <c r="S22" s="49">
        <v>29</v>
      </c>
      <c r="T22" s="49">
        <v>307</v>
      </c>
      <c r="U22" s="49">
        <v>12</v>
      </c>
      <c r="V22" s="49">
        <v>0</v>
      </c>
      <c r="W22" s="49">
        <v>0</v>
      </c>
      <c r="X22" s="49">
        <v>12</v>
      </c>
      <c r="Y22" s="49">
        <v>183</v>
      </c>
      <c r="Z22" s="49">
        <v>4</v>
      </c>
      <c r="AA22" s="49">
        <v>0</v>
      </c>
      <c r="AB22" s="49">
        <v>187</v>
      </c>
      <c r="AC22" s="49">
        <v>199</v>
      </c>
      <c r="AD22" s="49">
        <v>539</v>
      </c>
    </row>
    <row r="23" spans="2:30" x14ac:dyDescent="0.25">
      <c r="B23" s="10" t="s">
        <v>44</v>
      </c>
      <c r="C23" s="49">
        <v>155</v>
      </c>
      <c r="D23" s="49">
        <v>4</v>
      </c>
      <c r="E23" s="49">
        <v>0</v>
      </c>
      <c r="F23" s="49">
        <v>159</v>
      </c>
      <c r="G23" s="49">
        <v>60</v>
      </c>
      <c r="H23" s="49">
        <v>1</v>
      </c>
      <c r="I23" s="49">
        <v>0</v>
      </c>
      <c r="J23" s="49">
        <v>61</v>
      </c>
      <c r="K23" s="49">
        <v>220</v>
      </c>
      <c r="L23" s="49">
        <v>1594</v>
      </c>
      <c r="M23" s="49">
        <v>30</v>
      </c>
      <c r="N23" s="49">
        <v>1</v>
      </c>
      <c r="O23" s="49">
        <v>1625</v>
      </c>
      <c r="P23" s="49">
        <v>317</v>
      </c>
      <c r="Q23" s="49">
        <v>2</v>
      </c>
      <c r="R23" s="49">
        <v>3</v>
      </c>
      <c r="S23" s="49">
        <v>322</v>
      </c>
      <c r="T23" s="49">
        <v>1947</v>
      </c>
      <c r="U23" s="49">
        <v>161</v>
      </c>
      <c r="V23" s="49">
        <v>0</v>
      </c>
      <c r="W23" s="49">
        <v>0</v>
      </c>
      <c r="X23" s="49">
        <v>161</v>
      </c>
      <c r="Y23" s="49">
        <v>2076</v>
      </c>
      <c r="Z23" s="49">
        <v>21</v>
      </c>
      <c r="AA23" s="49">
        <v>4</v>
      </c>
      <c r="AB23" s="49">
        <v>2101</v>
      </c>
      <c r="AC23" s="49">
        <v>2262</v>
      </c>
      <c r="AD23" s="49">
        <v>4429</v>
      </c>
    </row>
    <row r="24" spans="2:30" x14ac:dyDescent="0.25">
      <c r="B24" s="11">
        <v>0.66666666666666663</v>
      </c>
      <c r="C24" s="49">
        <v>25</v>
      </c>
      <c r="D24" s="49">
        <v>1</v>
      </c>
      <c r="E24" s="49">
        <v>0</v>
      </c>
      <c r="F24" s="49">
        <v>26</v>
      </c>
      <c r="G24" s="49">
        <v>12</v>
      </c>
      <c r="H24" s="49">
        <v>0</v>
      </c>
      <c r="I24" s="49">
        <v>0</v>
      </c>
      <c r="J24" s="49">
        <v>12</v>
      </c>
      <c r="K24" s="49">
        <v>38</v>
      </c>
      <c r="L24" s="49">
        <v>184</v>
      </c>
      <c r="M24" s="49">
        <v>6</v>
      </c>
      <c r="N24" s="49">
        <v>0</v>
      </c>
      <c r="O24" s="49">
        <v>190</v>
      </c>
      <c r="P24" s="49">
        <v>28</v>
      </c>
      <c r="Q24" s="49">
        <v>0</v>
      </c>
      <c r="R24" s="49">
        <v>0</v>
      </c>
      <c r="S24" s="49">
        <v>28</v>
      </c>
      <c r="T24" s="49">
        <v>218</v>
      </c>
      <c r="U24" s="49">
        <v>17</v>
      </c>
      <c r="V24" s="49">
        <v>0</v>
      </c>
      <c r="W24" s="49">
        <v>0</v>
      </c>
      <c r="X24" s="49">
        <v>17</v>
      </c>
      <c r="Y24" s="49">
        <v>301</v>
      </c>
      <c r="Z24" s="49">
        <v>2</v>
      </c>
      <c r="AA24" s="49">
        <v>0</v>
      </c>
      <c r="AB24" s="49">
        <v>303</v>
      </c>
      <c r="AC24" s="49">
        <v>320</v>
      </c>
      <c r="AD24" s="49">
        <v>576</v>
      </c>
    </row>
    <row r="25" spans="2:30" x14ac:dyDescent="0.25">
      <c r="B25" s="11">
        <v>0.67708333333333337</v>
      </c>
      <c r="C25" s="49">
        <v>16</v>
      </c>
      <c r="D25" s="49">
        <v>0</v>
      </c>
      <c r="E25" s="49">
        <v>0</v>
      </c>
      <c r="F25" s="49">
        <v>16</v>
      </c>
      <c r="G25" s="49">
        <v>9</v>
      </c>
      <c r="H25" s="49">
        <v>0</v>
      </c>
      <c r="I25" s="49">
        <v>0</v>
      </c>
      <c r="J25" s="49">
        <v>9</v>
      </c>
      <c r="K25" s="49">
        <v>25</v>
      </c>
      <c r="L25" s="49">
        <v>208</v>
      </c>
      <c r="M25" s="49">
        <v>5</v>
      </c>
      <c r="N25" s="49">
        <v>0</v>
      </c>
      <c r="O25" s="49">
        <v>213</v>
      </c>
      <c r="P25" s="49">
        <v>35</v>
      </c>
      <c r="Q25" s="49">
        <v>1</v>
      </c>
      <c r="R25" s="49">
        <v>2</v>
      </c>
      <c r="S25" s="49">
        <v>38</v>
      </c>
      <c r="T25" s="49">
        <v>251</v>
      </c>
      <c r="U25" s="49">
        <v>21</v>
      </c>
      <c r="V25" s="49">
        <v>0</v>
      </c>
      <c r="W25" s="49">
        <v>0</v>
      </c>
      <c r="X25" s="49">
        <v>21</v>
      </c>
      <c r="Y25" s="49">
        <v>261</v>
      </c>
      <c r="Z25" s="49">
        <v>4</v>
      </c>
      <c r="AA25" s="49">
        <v>1</v>
      </c>
      <c r="AB25" s="49">
        <v>266</v>
      </c>
      <c r="AC25" s="49">
        <v>287</v>
      </c>
      <c r="AD25" s="49">
        <v>563</v>
      </c>
    </row>
    <row r="26" spans="2:30" x14ac:dyDescent="0.25">
      <c r="B26" s="11">
        <v>0.6875</v>
      </c>
      <c r="C26" s="49">
        <v>23</v>
      </c>
      <c r="D26" s="49">
        <v>1</v>
      </c>
      <c r="E26" s="49">
        <v>0</v>
      </c>
      <c r="F26" s="49">
        <v>24</v>
      </c>
      <c r="G26" s="49">
        <v>2</v>
      </c>
      <c r="H26" s="49">
        <v>1</v>
      </c>
      <c r="I26" s="49">
        <v>0</v>
      </c>
      <c r="J26" s="49">
        <v>3</v>
      </c>
      <c r="K26" s="49">
        <v>27</v>
      </c>
      <c r="L26" s="49">
        <v>248</v>
      </c>
      <c r="M26" s="49">
        <v>7</v>
      </c>
      <c r="N26" s="49">
        <v>0</v>
      </c>
      <c r="O26" s="49">
        <v>255</v>
      </c>
      <c r="P26" s="49">
        <v>34</v>
      </c>
      <c r="Q26" s="49">
        <v>0</v>
      </c>
      <c r="R26" s="49">
        <v>0</v>
      </c>
      <c r="S26" s="49">
        <v>34</v>
      </c>
      <c r="T26" s="49">
        <v>289</v>
      </c>
      <c r="U26" s="49">
        <v>11</v>
      </c>
      <c r="V26" s="49">
        <v>0</v>
      </c>
      <c r="W26" s="49">
        <v>0</v>
      </c>
      <c r="X26" s="49">
        <v>11</v>
      </c>
      <c r="Y26" s="49">
        <v>298</v>
      </c>
      <c r="Z26" s="49">
        <v>2</v>
      </c>
      <c r="AA26" s="49">
        <v>2</v>
      </c>
      <c r="AB26" s="49">
        <v>302</v>
      </c>
      <c r="AC26" s="49">
        <v>313</v>
      </c>
      <c r="AD26" s="49">
        <v>629</v>
      </c>
    </row>
    <row r="27" spans="2:30" x14ac:dyDescent="0.25">
      <c r="B27" s="11">
        <v>0.69791666666666663</v>
      </c>
      <c r="C27" s="49">
        <v>19</v>
      </c>
      <c r="D27" s="49">
        <v>0</v>
      </c>
      <c r="E27" s="49">
        <v>0</v>
      </c>
      <c r="F27" s="49">
        <v>19</v>
      </c>
      <c r="G27" s="49">
        <v>5</v>
      </c>
      <c r="H27" s="49">
        <v>0</v>
      </c>
      <c r="I27" s="49">
        <v>0</v>
      </c>
      <c r="J27" s="49">
        <v>5</v>
      </c>
      <c r="K27" s="49">
        <v>24</v>
      </c>
      <c r="L27" s="49">
        <v>227</v>
      </c>
      <c r="M27" s="49">
        <v>2</v>
      </c>
      <c r="N27" s="49">
        <v>0</v>
      </c>
      <c r="O27" s="49">
        <v>229</v>
      </c>
      <c r="P27" s="49">
        <v>39</v>
      </c>
      <c r="Q27" s="49">
        <v>0</v>
      </c>
      <c r="R27" s="49">
        <v>0</v>
      </c>
      <c r="S27" s="49">
        <v>39</v>
      </c>
      <c r="T27" s="49">
        <v>268</v>
      </c>
      <c r="U27" s="49">
        <v>20</v>
      </c>
      <c r="V27" s="49">
        <v>0</v>
      </c>
      <c r="W27" s="49">
        <v>0</v>
      </c>
      <c r="X27" s="49">
        <v>20</v>
      </c>
      <c r="Y27" s="49">
        <v>314</v>
      </c>
      <c r="Z27" s="49">
        <v>3</v>
      </c>
      <c r="AA27" s="49">
        <v>0</v>
      </c>
      <c r="AB27" s="49">
        <v>317</v>
      </c>
      <c r="AC27" s="49">
        <v>337</v>
      </c>
      <c r="AD27" s="49">
        <v>629</v>
      </c>
    </row>
    <row r="28" spans="2:30" x14ac:dyDescent="0.25">
      <c r="B28" s="11">
        <v>0.70833333333333337</v>
      </c>
      <c r="C28" s="49">
        <v>18</v>
      </c>
      <c r="D28" s="49">
        <v>1</v>
      </c>
      <c r="E28" s="49">
        <v>0</v>
      </c>
      <c r="F28" s="49">
        <v>19</v>
      </c>
      <c r="G28" s="49">
        <v>9</v>
      </c>
      <c r="H28" s="49">
        <v>0</v>
      </c>
      <c r="I28" s="49">
        <v>0</v>
      </c>
      <c r="J28" s="49">
        <v>9</v>
      </c>
      <c r="K28" s="49">
        <v>28</v>
      </c>
      <c r="L28" s="49">
        <v>203</v>
      </c>
      <c r="M28" s="49">
        <v>4</v>
      </c>
      <c r="N28" s="49">
        <v>1</v>
      </c>
      <c r="O28" s="49">
        <v>208</v>
      </c>
      <c r="P28" s="49">
        <v>43</v>
      </c>
      <c r="Q28" s="49">
        <v>0</v>
      </c>
      <c r="R28" s="49">
        <v>0</v>
      </c>
      <c r="S28" s="49">
        <v>43</v>
      </c>
      <c r="T28" s="49">
        <v>251</v>
      </c>
      <c r="U28" s="49">
        <v>26</v>
      </c>
      <c r="V28" s="49">
        <v>0</v>
      </c>
      <c r="W28" s="49">
        <v>0</v>
      </c>
      <c r="X28" s="49">
        <v>26</v>
      </c>
      <c r="Y28" s="49">
        <v>245</v>
      </c>
      <c r="Z28" s="49">
        <v>5</v>
      </c>
      <c r="AA28" s="49">
        <v>0</v>
      </c>
      <c r="AB28" s="49">
        <v>250</v>
      </c>
      <c r="AC28" s="49">
        <v>276</v>
      </c>
      <c r="AD28" s="49">
        <v>555</v>
      </c>
    </row>
    <row r="29" spans="2:30" x14ac:dyDescent="0.25">
      <c r="B29" s="11">
        <v>0.71875</v>
      </c>
      <c r="C29" s="49">
        <v>27</v>
      </c>
      <c r="D29" s="49">
        <v>0</v>
      </c>
      <c r="E29" s="49">
        <v>0</v>
      </c>
      <c r="F29" s="49">
        <v>27</v>
      </c>
      <c r="G29" s="49">
        <v>8</v>
      </c>
      <c r="H29" s="49">
        <v>0</v>
      </c>
      <c r="I29" s="49">
        <v>0</v>
      </c>
      <c r="J29" s="49">
        <v>8</v>
      </c>
      <c r="K29" s="49">
        <v>35</v>
      </c>
      <c r="L29" s="49">
        <v>195</v>
      </c>
      <c r="M29" s="49">
        <v>2</v>
      </c>
      <c r="N29" s="49">
        <v>0</v>
      </c>
      <c r="O29" s="49">
        <v>197</v>
      </c>
      <c r="P29" s="49">
        <v>51</v>
      </c>
      <c r="Q29" s="49">
        <v>1</v>
      </c>
      <c r="R29" s="49">
        <v>0</v>
      </c>
      <c r="S29" s="49">
        <v>52</v>
      </c>
      <c r="T29" s="49">
        <v>249</v>
      </c>
      <c r="U29" s="49">
        <v>31</v>
      </c>
      <c r="V29" s="49">
        <v>0</v>
      </c>
      <c r="W29" s="49">
        <v>0</v>
      </c>
      <c r="X29" s="49">
        <v>31</v>
      </c>
      <c r="Y29" s="49">
        <v>240</v>
      </c>
      <c r="Z29" s="49">
        <v>0</v>
      </c>
      <c r="AA29" s="49">
        <v>0</v>
      </c>
      <c r="AB29" s="49">
        <v>240</v>
      </c>
      <c r="AC29" s="49">
        <v>271</v>
      </c>
      <c r="AD29" s="49">
        <v>555</v>
      </c>
    </row>
    <row r="30" spans="2:30" x14ac:dyDescent="0.25">
      <c r="B30" s="11">
        <v>0.72916666666666663</v>
      </c>
      <c r="C30" s="49">
        <v>13</v>
      </c>
      <c r="D30" s="49">
        <v>1</v>
      </c>
      <c r="E30" s="49">
        <v>0</v>
      </c>
      <c r="F30" s="49">
        <v>14</v>
      </c>
      <c r="G30" s="49">
        <v>7</v>
      </c>
      <c r="H30" s="49">
        <v>0</v>
      </c>
      <c r="I30" s="49">
        <v>0</v>
      </c>
      <c r="J30" s="49">
        <v>7</v>
      </c>
      <c r="K30" s="49">
        <v>21</v>
      </c>
      <c r="L30" s="49">
        <v>175</v>
      </c>
      <c r="M30" s="49">
        <v>4</v>
      </c>
      <c r="N30" s="49">
        <v>0</v>
      </c>
      <c r="O30" s="49">
        <v>179</v>
      </c>
      <c r="P30" s="49">
        <v>50</v>
      </c>
      <c r="Q30" s="49">
        <v>0</v>
      </c>
      <c r="R30" s="49">
        <v>1</v>
      </c>
      <c r="S30" s="49">
        <v>51</v>
      </c>
      <c r="T30" s="49">
        <v>230</v>
      </c>
      <c r="U30" s="49">
        <v>21</v>
      </c>
      <c r="V30" s="49">
        <v>0</v>
      </c>
      <c r="W30" s="49">
        <v>0</v>
      </c>
      <c r="X30" s="49">
        <v>21</v>
      </c>
      <c r="Y30" s="49">
        <v>240</v>
      </c>
      <c r="Z30" s="49">
        <v>3</v>
      </c>
      <c r="AA30" s="49">
        <v>1</v>
      </c>
      <c r="AB30" s="49">
        <v>244</v>
      </c>
      <c r="AC30" s="49">
        <v>265</v>
      </c>
      <c r="AD30" s="49">
        <v>516</v>
      </c>
    </row>
    <row r="31" spans="2:30" x14ac:dyDescent="0.25">
      <c r="B31" s="11">
        <v>0.73958333333333337</v>
      </c>
      <c r="C31" s="49">
        <v>14</v>
      </c>
      <c r="D31" s="49">
        <v>0</v>
      </c>
      <c r="E31" s="49">
        <v>0</v>
      </c>
      <c r="F31" s="49">
        <v>14</v>
      </c>
      <c r="G31" s="49">
        <v>8</v>
      </c>
      <c r="H31" s="49">
        <v>0</v>
      </c>
      <c r="I31" s="49">
        <v>0</v>
      </c>
      <c r="J31" s="49">
        <v>8</v>
      </c>
      <c r="K31" s="49">
        <v>22</v>
      </c>
      <c r="L31" s="49">
        <v>154</v>
      </c>
      <c r="M31" s="49">
        <v>0</v>
      </c>
      <c r="N31" s="49">
        <v>0</v>
      </c>
      <c r="O31" s="49">
        <v>154</v>
      </c>
      <c r="P31" s="49">
        <v>37</v>
      </c>
      <c r="Q31" s="49">
        <v>0</v>
      </c>
      <c r="R31" s="49">
        <v>0</v>
      </c>
      <c r="S31" s="49">
        <v>37</v>
      </c>
      <c r="T31" s="49">
        <v>191</v>
      </c>
      <c r="U31" s="49">
        <v>14</v>
      </c>
      <c r="V31" s="49">
        <v>0</v>
      </c>
      <c r="W31" s="49">
        <v>0</v>
      </c>
      <c r="X31" s="49">
        <v>14</v>
      </c>
      <c r="Y31" s="49">
        <v>177</v>
      </c>
      <c r="Z31" s="49">
        <v>2</v>
      </c>
      <c r="AA31" s="49">
        <v>0</v>
      </c>
      <c r="AB31" s="49">
        <v>179</v>
      </c>
      <c r="AC31" s="49">
        <v>193</v>
      </c>
      <c r="AD31" s="49">
        <v>406</v>
      </c>
    </row>
    <row r="32" spans="2:30" x14ac:dyDescent="0.25">
      <c r="B32" s="10" t="s">
        <v>90</v>
      </c>
      <c r="C32" s="49">
        <v>69</v>
      </c>
      <c r="D32" s="49">
        <v>4</v>
      </c>
      <c r="E32" s="49">
        <v>0</v>
      </c>
      <c r="F32" s="49">
        <v>73</v>
      </c>
      <c r="G32" s="49">
        <v>46</v>
      </c>
      <c r="H32" s="49">
        <v>1</v>
      </c>
      <c r="I32" s="49">
        <v>0</v>
      </c>
      <c r="J32" s="49">
        <v>47</v>
      </c>
      <c r="K32" s="49">
        <v>120</v>
      </c>
      <c r="L32" s="49">
        <v>576</v>
      </c>
      <c r="M32" s="49">
        <v>37</v>
      </c>
      <c r="N32" s="49">
        <v>0</v>
      </c>
      <c r="O32" s="49">
        <v>613</v>
      </c>
      <c r="P32" s="49">
        <v>81</v>
      </c>
      <c r="Q32" s="49">
        <v>2</v>
      </c>
      <c r="R32" s="49">
        <v>0</v>
      </c>
      <c r="S32" s="49">
        <v>83</v>
      </c>
      <c r="T32" s="49">
        <v>696</v>
      </c>
      <c r="U32" s="49">
        <v>44</v>
      </c>
      <c r="V32" s="49">
        <v>1</v>
      </c>
      <c r="W32" s="49">
        <v>0</v>
      </c>
      <c r="X32" s="49">
        <v>45</v>
      </c>
      <c r="Y32" s="49">
        <v>589</v>
      </c>
      <c r="Z32" s="49">
        <v>47</v>
      </c>
      <c r="AA32" s="49">
        <v>0</v>
      </c>
      <c r="AB32" s="49">
        <v>636</v>
      </c>
      <c r="AC32" s="49">
        <v>681</v>
      </c>
      <c r="AD32" s="49">
        <v>1497</v>
      </c>
    </row>
    <row r="33" spans="2:30" x14ac:dyDescent="0.25">
      <c r="B33" s="11">
        <v>0.54166666666666663</v>
      </c>
      <c r="C33" s="49">
        <v>14</v>
      </c>
      <c r="D33" s="49">
        <v>3</v>
      </c>
      <c r="E33" s="49">
        <v>0</v>
      </c>
      <c r="F33" s="49">
        <v>17</v>
      </c>
      <c r="G33" s="49">
        <v>5</v>
      </c>
      <c r="H33" s="49">
        <v>0</v>
      </c>
      <c r="I33" s="49">
        <v>0</v>
      </c>
      <c r="J33" s="49">
        <v>5</v>
      </c>
      <c r="K33" s="49">
        <v>22</v>
      </c>
      <c r="L33" s="49">
        <v>136</v>
      </c>
      <c r="M33" s="49">
        <v>8</v>
      </c>
      <c r="N33" s="49">
        <v>0</v>
      </c>
      <c r="O33" s="49">
        <v>144</v>
      </c>
      <c r="P33" s="49">
        <v>17</v>
      </c>
      <c r="Q33" s="49">
        <v>0</v>
      </c>
      <c r="R33" s="49">
        <v>0</v>
      </c>
      <c r="S33" s="49">
        <v>17</v>
      </c>
      <c r="T33" s="49">
        <v>161</v>
      </c>
      <c r="U33" s="49">
        <v>12</v>
      </c>
      <c r="V33" s="49">
        <v>0</v>
      </c>
      <c r="W33" s="49">
        <v>0</v>
      </c>
      <c r="X33" s="49">
        <v>12</v>
      </c>
      <c r="Y33" s="49">
        <v>143</v>
      </c>
      <c r="Z33" s="49">
        <v>14</v>
      </c>
      <c r="AA33" s="49">
        <v>0</v>
      </c>
      <c r="AB33" s="49">
        <v>157</v>
      </c>
      <c r="AC33" s="49">
        <v>169</v>
      </c>
      <c r="AD33" s="49">
        <v>352</v>
      </c>
    </row>
    <row r="34" spans="2:30" x14ac:dyDescent="0.25">
      <c r="B34" s="11">
        <v>0.55208333333333337</v>
      </c>
      <c r="C34" s="49">
        <v>15</v>
      </c>
      <c r="D34" s="49">
        <v>1</v>
      </c>
      <c r="E34" s="49">
        <v>0</v>
      </c>
      <c r="F34" s="49">
        <v>16</v>
      </c>
      <c r="G34" s="49">
        <v>16</v>
      </c>
      <c r="H34" s="49">
        <v>0</v>
      </c>
      <c r="I34" s="49">
        <v>0</v>
      </c>
      <c r="J34" s="49">
        <v>16</v>
      </c>
      <c r="K34" s="49">
        <v>32</v>
      </c>
      <c r="L34" s="49">
        <v>139</v>
      </c>
      <c r="M34" s="49">
        <v>15</v>
      </c>
      <c r="N34" s="49">
        <v>0</v>
      </c>
      <c r="O34" s="49">
        <v>154</v>
      </c>
      <c r="P34" s="49">
        <v>19</v>
      </c>
      <c r="Q34" s="49">
        <v>1</v>
      </c>
      <c r="R34" s="49">
        <v>0</v>
      </c>
      <c r="S34" s="49">
        <v>20</v>
      </c>
      <c r="T34" s="49">
        <v>174</v>
      </c>
      <c r="U34" s="49">
        <v>11</v>
      </c>
      <c r="V34" s="49">
        <v>0</v>
      </c>
      <c r="W34" s="49">
        <v>0</v>
      </c>
      <c r="X34" s="49">
        <v>11</v>
      </c>
      <c r="Y34" s="49">
        <v>153</v>
      </c>
      <c r="Z34" s="49">
        <v>16</v>
      </c>
      <c r="AA34" s="49">
        <v>0</v>
      </c>
      <c r="AB34" s="49">
        <v>169</v>
      </c>
      <c r="AC34" s="49">
        <v>180</v>
      </c>
      <c r="AD34" s="49">
        <v>386</v>
      </c>
    </row>
    <row r="35" spans="2:30" x14ac:dyDescent="0.25">
      <c r="B35" s="11">
        <v>0.5625</v>
      </c>
      <c r="C35" s="49">
        <v>14</v>
      </c>
      <c r="D35" s="49">
        <v>0</v>
      </c>
      <c r="E35" s="49">
        <v>0</v>
      </c>
      <c r="F35" s="49">
        <v>14</v>
      </c>
      <c r="G35" s="49">
        <v>14</v>
      </c>
      <c r="H35" s="49">
        <v>1</v>
      </c>
      <c r="I35" s="49">
        <v>0</v>
      </c>
      <c r="J35" s="49">
        <v>15</v>
      </c>
      <c r="K35" s="49">
        <v>29</v>
      </c>
      <c r="L35" s="49">
        <v>144</v>
      </c>
      <c r="M35" s="49">
        <v>7</v>
      </c>
      <c r="N35" s="49">
        <v>0</v>
      </c>
      <c r="O35" s="49">
        <v>151</v>
      </c>
      <c r="P35" s="49">
        <v>22</v>
      </c>
      <c r="Q35" s="49">
        <v>1</v>
      </c>
      <c r="R35" s="49">
        <v>0</v>
      </c>
      <c r="S35" s="49">
        <v>23</v>
      </c>
      <c r="T35" s="49">
        <v>174</v>
      </c>
      <c r="U35" s="49">
        <v>12</v>
      </c>
      <c r="V35" s="49">
        <v>0</v>
      </c>
      <c r="W35" s="49">
        <v>0</v>
      </c>
      <c r="X35" s="49">
        <v>12</v>
      </c>
      <c r="Y35" s="49">
        <v>138</v>
      </c>
      <c r="Z35" s="49">
        <v>9</v>
      </c>
      <c r="AA35" s="49">
        <v>0</v>
      </c>
      <c r="AB35" s="49">
        <v>147</v>
      </c>
      <c r="AC35" s="49">
        <v>159</v>
      </c>
      <c r="AD35" s="49">
        <v>362</v>
      </c>
    </row>
    <row r="36" spans="2:30" x14ac:dyDescent="0.25">
      <c r="B36" s="11">
        <v>0.57291666666666663</v>
      </c>
      <c r="C36" s="49">
        <v>26</v>
      </c>
      <c r="D36" s="49">
        <v>0</v>
      </c>
      <c r="E36" s="49">
        <v>0</v>
      </c>
      <c r="F36" s="49">
        <v>26</v>
      </c>
      <c r="G36" s="49">
        <v>11</v>
      </c>
      <c r="H36" s="49">
        <v>0</v>
      </c>
      <c r="I36" s="49">
        <v>0</v>
      </c>
      <c r="J36" s="49">
        <v>11</v>
      </c>
      <c r="K36" s="49">
        <v>37</v>
      </c>
      <c r="L36" s="49">
        <v>157</v>
      </c>
      <c r="M36" s="49">
        <v>7</v>
      </c>
      <c r="N36" s="49">
        <v>0</v>
      </c>
      <c r="O36" s="49">
        <v>164</v>
      </c>
      <c r="P36" s="49">
        <v>23</v>
      </c>
      <c r="Q36" s="49">
        <v>0</v>
      </c>
      <c r="R36" s="49">
        <v>0</v>
      </c>
      <c r="S36" s="49">
        <v>23</v>
      </c>
      <c r="T36" s="49">
        <v>187</v>
      </c>
      <c r="U36" s="49">
        <v>9</v>
      </c>
      <c r="V36" s="49">
        <v>1</v>
      </c>
      <c r="W36" s="49">
        <v>0</v>
      </c>
      <c r="X36" s="49">
        <v>10</v>
      </c>
      <c r="Y36" s="49">
        <v>155</v>
      </c>
      <c r="Z36" s="49">
        <v>8</v>
      </c>
      <c r="AA36" s="49">
        <v>0</v>
      </c>
      <c r="AB36" s="49">
        <v>163</v>
      </c>
      <c r="AC36" s="49">
        <v>173</v>
      </c>
      <c r="AD36" s="49">
        <v>397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2286</v>
      </c>
      <c r="I5">
        <f>MAX(I11:I303)</f>
        <v>1497</v>
      </c>
      <c r="J5">
        <f>MAX(J11:J303)</f>
        <v>2397</v>
      </c>
      <c r="K5">
        <f>MAX(K11:K303)</f>
        <v>0</v>
      </c>
      <c r="N5" t="s">
        <v>53</v>
      </c>
      <c r="O5">
        <f>INDEX($H5:$K5,1,MATCH($O$4,$H$10:$K$10,0))</f>
        <v>0</v>
      </c>
    </row>
    <row r="6" spans="1:21" x14ac:dyDescent="0.25">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2286 vehicles between 07:30 and 08:30</v>
      </c>
      <c r="I8" s="6" t="str">
        <f>IF(I5=0,"","The peak hour for " &amp;I10&amp;" is "&amp;I5&amp;" vehicles between " &amp; TEXT(I6, "hh:mm")&amp; " and " &amp;TEXT(I7,"hh:mm"))</f>
        <v>The peak hour for INT is 1497 vehicles between 13:00 and 14:00</v>
      </c>
      <c r="J8" s="6" t="str">
        <f>IF(J5=0,"","The peak hour for " &amp;J10&amp;" is "&amp;J5&amp;" vehicles between " &amp; TEXT(J6, "hh:mm")&amp; " and " &amp;TEXT(J7,"hh:mm"))</f>
        <v>The peak hour for PM is 2397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475</v>
      </c>
      <c r="C11" s="49"/>
      <c r="D11" s="49"/>
      <c r="G11" s="7">
        <f>A11</f>
        <v>0.29166666666666669</v>
      </c>
      <c r="H11">
        <f>IF(B11&lt;&gt;0,SUMIF($G$11:$G11,"&gt;"&amp;$G11-1/24,B$11:B11),0)</f>
        <v>475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475</v>
      </c>
      <c r="Q11">
        <f>P11*L11</f>
        <v>0</v>
      </c>
      <c r="S11" s="9">
        <v>0.29166666666666669</v>
      </c>
      <c r="T11" s="49">
        <v>475</v>
      </c>
      <c r="U11" s="49">
        <v>0</v>
      </c>
    </row>
    <row r="12" spans="1:21" x14ac:dyDescent="0.25">
      <c r="A12" s="9">
        <v>0.30208333333333331</v>
      </c>
      <c r="B12" s="49">
        <v>506</v>
      </c>
      <c r="C12" s="49"/>
      <c r="D12" s="49"/>
      <c r="G12" s="7">
        <f t="shared" ref="G12:G26" si="3">A12</f>
        <v>0.30208333333333331</v>
      </c>
      <c r="H12">
        <f>IF(B12&lt;&gt;0,SUMIF($G$11:$G12,"&gt;"&amp;$G12-1/24,B$11:B12),0)</f>
        <v>981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506</v>
      </c>
      <c r="Q12">
        <f t="shared" ref="Q12:Q75" si="7">P12*L12</f>
        <v>0</v>
      </c>
      <c r="S12" s="9">
        <v>0.30208333333333331</v>
      </c>
      <c r="T12" s="49">
        <v>506</v>
      </c>
      <c r="U12" s="49">
        <v>0</v>
      </c>
    </row>
    <row r="13" spans="1:21" x14ac:dyDescent="0.25">
      <c r="A13" s="9">
        <v>0.3125</v>
      </c>
      <c r="B13" s="49">
        <v>585</v>
      </c>
      <c r="C13" s="49"/>
      <c r="D13" s="49"/>
      <c r="G13" s="7">
        <f t="shared" si="3"/>
        <v>0.3125</v>
      </c>
      <c r="H13">
        <f>IF(B13&lt;&gt;0,SUMIF($G$11:$G13,"&gt;"&amp;$G13-1/24,B$11:B13),0)</f>
        <v>1566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585</v>
      </c>
      <c r="Q13">
        <f t="shared" si="7"/>
        <v>585</v>
      </c>
      <c r="S13" s="9">
        <v>0.3125</v>
      </c>
      <c r="T13" s="49">
        <v>585</v>
      </c>
      <c r="U13" s="49">
        <v>585</v>
      </c>
    </row>
    <row r="14" spans="1:21" x14ac:dyDescent="0.25">
      <c r="A14" s="9">
        <v>0.32291666666666669</v>
      </c>
      <c r="B14" s="49">
        <v>603</v>
      </c>
      <c r="C14" s="49"/>
      <c r="D14" s="49"/>
      <c r="G14" s="7">
        <f t="shared" si="3"/>
        <v>0.32291666666666669</v>
      </c>
      <c r="H14">
        <f>IF(B14&lt;&gt;0,SUMIF($G$11:$G14,"&gt;"&amp;$G14-1/24,B$11:B14),0)</f>
        <v>2169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603</v>
      </c>
      <c r="Q14">
        <f t="shared" si="7"/>
        <v>603</v>
      </c>
      <c r="S14" s="9">
        <v>0.32291666666666669</v>
      </c>
      <c r="T14" s="49">
        <v>603</v>
      </c>
      <c r="U14" s="49">
        <v>603</v>
      </c>
    </row>
    <row r="15" spans="1:21" x14ac:dyDescent="0.25">
      <c r="A15" s="9">
        <v>0.33333333333333331</v>
      </c>
      <c r="B15" s="49">
        <v>582</v>
      </c>
      <c r="C15" s="49"/>
      <c r="D15" s="49"/>
      <c r="G15" s="7">
        <f t="shared" si="3"/>
        <v>0.33333333333333331</v>
      </c>
      <c r="H15">
        <f>IF(B15&lt;&gt;0,SUMIF($G$11:$G15,"&gt;"&amp;$G15-1/24,B$11:B15),0)</f>
        <v>2276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582</v>
      </c>
      <c r="Q15">
        <f t="shared" si="7"/>
        <v>582</v>
      </c>
      <c r="S15" s="9">
        <v>0.33333333333333331</v>
      </c>
      <c r="T15" s="49">
        <v>582</v>
      </c>
      <c r="U15" s="49">
        <v>582</v>
      </c>
    </row>
    <row r="16" spans="1:21" x14ac:dyDescent="0.25">
      <c r="A16" s="9">
        <v>0.34375</v>
      </c>
      <c r="B16" s="49">
        <v>516</v>
      </c>
      <c r="C16" s="49"/>
      <c r="D16" s="49"/>
      <c r="G16" s="7">
        <f t="shared" si="3"/>
        <v>0.34375</v>
      </c>
      <c r="H16">
        <f>IF(B16&lt;&gt;0,SUMIF($G$11:$G16,"&gt;"&amp;$G16-1/24,B$11:B16),0)</f>
        <v>2286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516</v>
      </c>
      <c r="Q16">
        <f t="shared" si="7"/>
        <v>516</v>
      </c>
      <c r="S16" s="9">
        <v>0.34375</v>
      </c>
      <c r="T16" s="49">
        <v>516</v>
      </c>
      <c r="U16" s="49">
        <v>516</v>
      </c>
    </row>
    <row r="17" spans="1:21" x14ac:dyDescent="0.25">
      <c r="A17" s="9">
        <v>0.35416666666666669</v>
      </c>
      <c r="B17" s="49">
        <v>548</v>
      </c>
      <c r="C17" s="49"/>
      <c r="D17" s="49"/>
      <c r="G17" s="7">
        <f t="shared" si="3"/>
        <v>0.35416666666666669</v>
      </c>
      <c r="H17">
        <f>IF(B17&lt;&gt;0,SUMIF($G$11:$G17,"&gt;"&amp;$G17-1/24,B$11:B17),0)</f>
        <v>2249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548</v>
      </c>
      <c r="Q17">
        <f t="shared" si="7"/>
        <v>0</v>
      </c>
      <c r="S17" s="9">
        <v>0.35416666666666669</v>
      </c>
      <c r="T17" s="49">
        <v>548</v>
      </c>
      <c r="U17" s="49">
        <v>0</v>
      </c>
    </row>
    <row r="18" spans="1:21" x14ac:dyDescent="0.25">
      <c r="A18" s="9">
        <v>0.36458333333333331</v>
      </c>
      <c r="B18" s="49">
        <v>539</v>
      </c>
      <c r="C18" s="49"/>
      <c r="D18" s="49"/>
      <c r="G18" s="7">
        <f t="shared" si="3"/>
        <v>0.36458333333333331</v>
      </c>
      <c r="H18">
        <f>IF(B18&lt;&gt;0,SUMIF($G$11:$G18,"&gt;"&amp;$G18-1/24,B$11:B18),0)</f>
        <v>2185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539</v>
      </c>
      <c r="Q18">
        <f t="shared" si="7"/>
        <v>0</v>
      </c>
      <c r="S18" s="9">
        <v>0.36458333333333331</v>
      </c>
      <c r="T18" s="49">
        <v>539</v>
      </c>
      <c r="U18" s="49">
        <v>0</v>
      </c>
    </row>
    <row r="19" spans="1:21" x14ac:dyDescent="0.25">
      <c r="A19" s="9">
        <v>0.54166666666666663</v>
      </c>
      <c r="B19" s="49"/>
      <c r="C19" s="49">
        <v>352</v>
      </c>
      <c r="D19" s="49"/>
      <c r="G19" s="7">
        <f t="shared" si="3"/>
        <v>0.54166666666666663</v>
      </c>
      <c r="H19">
        <f>IF(B19&lt;&gt;0,SUMIF($G$11:$G19,"&gt;"&amp;$G19-1/24,B$11:B19),0)</f>
        <v>0</v>
      </c>
      <c r="I19">
        <f>IF(C19&lt;&gt;0,SUMIF($G$11:$G19,"&gt;"&amp;$G19-1/24,C$11:C19),0)</f>
        <v>352</v>
      </c>
      <c r="J19">
        <f>IF(D19&lt;&gt;0,SUMIF($G$11:$G19,"&gt;"&amp;$G19-1/24,D$11:D19),0)</f>
        <v>0</v>
      </c>
      <c r="K19">
        <f>IF(E19&lt;&gt;0,SUMIF($G$11:$G19,"&gt;"&amp;$G19-1/24,E$11:E19),0)</f>
        <v>0</v>
      </c>
      <c r="L19">
        <f t="shared" si="4"/>
        <v>1</v>
      </c>
      <c r="N19" t="str">
        <f t="shared" si="5"/>
        <v>INT</v>
      </c>
      <c r="O19" s="7">
        <f t="shared" si="2"/>
        <v>0.54166666666666663</v>
      </c>
      <c r="P19">
        <f t="shared" si="6"/>
        <v>352</v>
      </c>
      <c r="Q19">
        <f t="shared" si="7"/>
        <v>352</v>
      </c>
      <c r="S19" s="9" t="s">
        <v>49</v>
      </c>
      <c r="T19" s="49">
        <v>4354</v>
      </c>
      <c r="U19" s="49">
        <v>2286</v>
      </c>
    </row>
    <row r="20" spans="1:21" x14ac:dyDescent="0.25">
      <c r="A20" s="9">
        <v>0.55208333333333337</v>
      </c>
      <c r="B20" s="49"/>
      <c r="C20" s="49">
        <v>386</v>
      </c>
      <c r="D20" s="49"/>
      <c r="G20" s="7">
        <f t="shared" si="3"/>
        <v>0.55208333333333337</v>
      </c>
      <c r="H20">
        <f>IF(B20&lt;&gt;0,SUMIF($G$11:$G20,"&gt;"&amp;$G20-1/24,B$11:B20),0)</f>
        <v>0</v>
      </c>
      <c r="I20">
        <f>IF(C20&lt;&gt;0,SUMIF($G$11:$G20,"&gt;"&amp;$G20-1/24,C$11:C20),0)</f>
        <v>738</v>
      </c>
      <c r="J20">
        <f>IF(D20&lt;&gt;0,SUMIF($G$11:$G20,"&gt;"&amp;$G20-1/24,D$11:D20),0)</f>
        <v>0</v>
      </c>
      <c r="K20">
        <f>IF(E20&lt;&gt;0,SUMIF($G$11:$G20,"&gt;"&amp;$G20-1/24,E$11:E20),0)</f>
        <v>0</v>
      </c>
      <c r="L20">
        <f t="shared" si="4"/>
        <v>1</v>
      </c>
      <c r="N20" t="str">
        <f t="shared" si="5"/>
        <v>INT</v>
      </c>
      <c r="O20" s="7">
        <f t="shared" si="2"/>
        <v>0.55208333333333337</v>
      </c>
      <c r="P20">
        <f t="shared" si="6"/>
        <v>386</v>
      </c>
      <c r="Q20">
        <f t="shared" si="7"/>
        <v>386</v>
      </c>
    </row>
    <row r="21" spans="1:21" x14ac:dyDescent="0.25">
      <c r="A21" s="9">
        <v>0.5625</v>
      </c>
      <c r="B21" s="49"/>
      <c r="C21" s="49">
        <v>362</v>
      </c>
      <c r="D21" s="49"/>
      <c r="G21" s="7">
        <f t="shared" si="3"/>
        <v>0.5625</v>
      </c>
      <c r="H21">
        <f>IF(B21&lt;&gt;0,SUMIF($G$11:$G21,"&gt;"&amp;$G21-1/24,B$11:B21),0)</f>
        <v>0</v>
      </c>
      <c r="I21">
        <f>IF(C21&lt;&gt;0,SUMIF($G$11:$G21,"&gt;"&amp;$G21-1/24,C$11:C21),0)</f>
        <v>1100</v>
      </c>
      <c r="J21">
        <f>IF(D21&lt;&gt;0,SUMIF($G$11:$G21,"&gt;"&amp;$G21-1/24,D$11:D21),0)</f>
        <v>0</v>
      </c>
      <c r="K21">
        <f>IF(E21&lt;&gt;0,SUMIF($G$11:$G21,"&gt;"&amp;$G21-1/24,E$11:E21),0)</f>
        <v>0</v>
      </c>
      <c r="L21">
        <f t="shared" si="4"/>
        <v>1</v>
      </c>
      <c r="N21" t="str">
        <f t="shared" si="5"/>
        <v>INT</v>
      </c>
      <c r="O21" s="7">
        <f t="shared" si="2"/>
        <v>0.5625</v>
      </c>
      <c r="P21">
        <f t="shared" si="6"/>
        <v>362</v>
      </c>
      <c r="Q21">
        <f t="shared" si="7"/>
        <v>362</v>
      </c>
    </row>
    <row r="22" spans="1:21" x14ac:dyDescent="0.25">
      <c r="A22" s="9">
        <v>0.57291666666666663</v>
      </c>
      <c r="B22" s="49"/>
      <c r="C22" s="49">
        <v>397</v>
      </c>
      <c r="D22" s="49"/>
      <c r="G22" s="7">
        <f t="shared" si="3"/>
        <v>0.57291666666666663</v>
      </c>
      <c r="H22">
        <f>IF(B22&lt;&gt;0,SUMIF($G$11:$G22,"&gt;"&amp;$G22-1/24,B$11:B22),0)</f>
        <v>0</v>
      </c>
      <c r="I22">
        <f>IF(C22&lt;&gt;0,SUMIF($G$11:$G22,"&gt;"&amp;$G22-1/24,C$11:C22),0)</f>
        <v>1497</v>
      </c>
      <c r="J22">
        <f>IF(D22&lt;&gt;0,SUMIF($G$11:$G22,"&gt;"&amp;$G22-1/24,D$11:D22),0)</f>
        <v>0</v>
      </c>
      <c r="K22">
        <f>IF(E22&lt;&gt;0,SUMIF($G$11:$G22,"&gt;"&amp;$G22-1/24,E$11:E22),0)</f>
        <v>0</v>
      </c>
      <c r="L22">
        <f t="shared" si="4"/>
        <v>1</v>
      </c>
      <c r="N22" t="str">
        <f t="shared" si="5"/>
        <v>INT</v>
      </c>
      <c r="O22" s="7">
        <f t="shared" si="2"/>
        <v>0.57291666666666663</v>
      </c>
      <c r="P22">
        <f t="shared" si="6"/>
        <v>397</v>
      </c>
      <c r="Q22">
        <f t="shared" si="7"/>
        <v>397</v>
      </c>
    </row>
    <row r="23" spans="1:21" x14ac:dyDescent="0.25">
      <c r="A23" s="9">
        <v>0.66666666666666663</v>
      </c>
      <c r="B23" s="49"/>
      <c r="C23" s="49"/>
      <c r="D23" s="49">
        <v>576</v>
      </c>
      <c r="G23" s="7">
        <f t="shared" si="3"/>
        <v>0.66666666666666663</v>
      </c>
      <c r="H23">
        <f>IF(B23&lt;&gt;0,SUMIF($G$11:$G23,"&gt;"&amp;$G23-1/24,B$11:B23),0)</f>
        <v>0</v>
      </c>
      <c r="I23">
        <f>IF(C23&lt;&gt;0,SUMIF($G$11:$G23,"&gt;"&amp;$G23-1/24,C$11:C23),0)</f>
        <v>0</v>
      </c>
      <c r="J23">
        <f>IF(D23&lt;&gt;0,SUMIF($G$11:$G23,"&gt;"&amp;$G23-1/24,D$11:D23),0)</f>
        <v>576</v>
      </c>
      <c r="K23">
        <f>IF(E23&lt;&gt;0,SUMIF($G$11:$G23,"&gt;"&amp;$G23-1/24,E$11:E23),0)</f>
        <v>0</v>
      </c>
      <c r="L23">
        <f t="shared" si="4"/>
        <v>1</v>
      </c>
      <c r="N23" t="str">
        <f t="shared" si="5"/>
        <v>PM</v>
      </c>
      <c r="O23" s="7">
        <f t="shared" si="2"/>
        <v>0.66666666666666663</v>
      </c>
      <c r="P23">
        <f t="shared" si="6"/>
        <v>576</v>
      </c>
      <c r="Q23">
        <f t="shared" si="7"/>
        <v>576</v>
      </c>
    </row>
    <row r="24" spans="1:21" x14ac:dyDescent="0.25">
      <c r="A24" s="9">
        <v>0.67708333333333337</v>
      </c>
      <c r="B24" s="49"/>
      <c r="C24" s="49"/>
      <c r="D24" s="49">
        <v>563</v>
      </c>
      <c r="G24" s="7">
        <f t="shared" si="3"/>
        <v>0.67708333333333337</v>
      </c>
      <c r="H24">
        <f>IF(B24&lt;&gt;0,SUMIF($G$11:$G24,"&gt;"&amp;$G24-1/24,B$11:B24),0)</f>
        <v>0</v>
      </c>
      <c r="I24">
        <f>IF(C24&lt;&gt;0,SUMIF($G$11:$G24,"&gt;"&amp;$G24-1/24,C$11:C24),0)</f>
        <v>0</v>
      </c>
      <c r="J24">
        <f>IF(D24&lt;&gt;0,SUMIF($G$11:$G24,"&gt;"&amp;$G24-1/24,D$11:D24),0)</f>
        <v>1139</v>
      </c>
      <c r="K24">
        <f>IF(E24&lt;&gt;0,SUMIF($G$11:$G24,"&gt;"&amp;$G24-1/24,E$11:E24),0)</f>
        <v>0</v>
      </c>
      <c r="L24">
        <f t="shared" si="4"/>
        <v>1</v>
      </c>
      <c r="N24" t="str">
        <f t="shared" si="5"/>
        <v>PM</v>
      </c>
      <c r="O24" s="7">
        <f t="shared" si="2"/>
        <v>0.67708333333333337</v>
      </c>
      <c r="P24">
        <f t="shared" si="6"/>
        <v>563</v>
      </c>
      <c r="Q24">
        <f t="shared" si="7"/>
        <v>563</v>
      </c>
    </row>
    <row r="25" spans="1:21" x14ac:dyDescent="0.25">
      <c r="A25" s="9">
        <v>0.6875</v>
      </c>
      <c r="B25" s="49"/>
      <c r="C25" s="49"/>
      <c r="D25" s="49">
        <v>629</v>
      </c>
      <c r="G25" s="7">
        <f t="shared" si="3"/>
        <v>0.6875</v>
      </c>
      <c r="H25">
        <f>IF(B25&lt;&gt;0,SUMIF($G$11:$G25,"&gt;"&amp;$G25-1/24,B$11:B25),0)</f>
        <v>0</v>
      </c>
      <c r="I25">
        <f>IF(C25&lt;&gt;0,SUMIF($G$11:$G25,"&gt;"&amp;$G25-1/24,C$11:C25),0)</f>
        <v>0</v>
      </c>
      <c r="J25">
        <f>IF(D25&lt;&gt;0,SUMIF($G$11:$G25,"&gt;"&amp;$G25-1/24,D$11:D25),0)</f>
        <v>1768</v>
      </c>
      <c r="K25">
        <f>IF(E25&lt;&gt;0,SUMIF($G$11:$G25,"&gt;"&amp;$G25-1/24,E$11:E25),0)</f>
        <v>0</v>
      </c>
      <c r="L25">
        <f t="shared" si="4"/>
        <v>1</v>
      </c>
      <c r="N25" t="str">
        <f t="shared" si="5"/>
        <v>PM</v>
      </c>
      <c r="O25" s="7">
        <f t="shared" si="2"/>
        <v>0.6875</v>
      </c>
      <c r="P25">
        <f t="shared" si="6"/>
        <v>629</v>
      </c>
      <c r="Q25">
        <f t="shared" si="7"/>
        <v>629</v>
      </c>
    </row>
    <row r="26" spans="1:21" x14ac:dyDescent="0.25">
      <c r="A26" s="9">
        <v>0.69791666666666663</v>
      </c>
      <c r="B26" s="49"/>
      <c r="C26" s="49"/>
      <c r="D26" s="49">
        <v>629</v>
      </c>
      <c r="G26" s="7">
        <f t="shared" si="3"/>
        <v>0.69791666666666663</v>
      </c>
      <c r="H26">
        <f>IF(B26&lt;&gt;0,SUMIF($G$11:$G26,"&gt;"&amp;$G26-1/24,B$11:B26),0)</f>
        <v>0</v>
      </c>
      <c r="I26">
        <f>IF(C26&lt;&gt;0,SUMIF($G$11:$G26,"&gt;"&amp;$G26-1/24,C$11:C26),0)</f>
        <v>0</v>
      </c>
      <c r="J26">
        <f>IF(D26&lt;&gt;0,SUMIF($G$11:$G26,"&gt;"&amp;$G26-1/24,D$11:D26),0)</f>
        <v>2397</v>
      </c>
      <c r="K26">
        <f>IF(E26&lt;&gt;0,SUMIF($G$11:$G26,"&gt;"&amp;$G26-1/24,E$11:E26),0)</f>
        <v>0</v>
      </c>
      <c r="L26">
        <f t="shared" si="4"/>
        <v>1</v>
      </c>
      <c r="N26" t="str">
        <f t="shared" si="5"/>
        <v>PM</v>
      </c>
      <c r="O26" s="7">
        <f t="shared" si="2"/>
        <v>0.69791666666666663</v>
      </c>
      <c r="P26">
        <f t="shared" si="6"/>
        <v>629</v>
      </c>
      <c r="Q26">
        <f t="shared" si="7"/>
        <v>629</v>
      </c>
    </row>
    <row r="27" spans="1:21" x14ac:dyDescent="0.25">
      <c r="A27" s="9">
        <v>0.70833333333333337</v>
      </c>
      <c r="B27" s="49"/>
      <c r="C27" s="49"/>
      <c r="D27" s="49">
        <v>555</v>
      </c>
      <c r="G27" s="7">
        <f t="shared" ref="G27:G90" si="8">A27</f>
        <v>0.70833333333333337</v>
      </c>
      <c r="H27">
        <f>IF(B27&lt;&gt;0,SUMIF($G$11:$G27,"&gt;"&amp;$G27-1/24,B$11:B27),0)</f>
        <v>0</v>
      </c>
      <c r="I27">
        <f>IF(C27&lt;&gt;0,SUMIF($G$11:$G27,"&gt;"&amp;$G27-1/24,C$11:C27),0)</f>
        <v>0</v>
      </c>
      <c r="J27">
        <f>IF(D27&lt;&gt;0,SUMIF($G$11:$G27,"&gt;"&amp;$G27-1/24,D$11:D27),0)</f>
        <v>2376</v>
      </c>
      <c r="K27">
        <f>IF(E27&lt;&gt;0,SUMIF($G$11:$G27,"&gt;"&amp;$G27-1/24,E$11:E27),0)</f>
        <v>0</v>
      </c>
      <c r="L27">
        <f t="shared" si="4"/>
        <v>0</v>
      </c>
      <c r="N27" t="str">
        <f t="shared" si="5"/>
        <v>PM</v>
      </c>
      <c r="O27" s="7">
        <f t="shared" si="2"/>
        <v>0.70833333333333337</v>
      </c>
      <c r="P27">
        <f t="shared" si="6"/>
        <v>555</v>
      </c>
      <c r="Q27">
        <f t="shared" si="7"/>
        <v>0</v>
      </c>
    </row>
    <row r="28" spans="1:21" x14ac:dyDescent="0.25">
      <c r="A28" s="9">
        <v>0.71875</v>
      </c>
      <c r="B28" s="49"/>
      <c r="C28" s="49"/>
      <c r="D28" s="49">
        <v>555</v>
      </c>
      <c r="G28" s="7">
        <f t="shared" si="8"/>
        <v>0.71875</v>
      </c>
      <c r="H28">
        <f>IF(B28&lt;&gt;0,SUMIF($G$11:$G28,"&gt;"&amp;$G28-1/24,B$11:B28),0)</f>
        <v>0</v>
      </c>
      <c r="I28">
        <f>IF(C28&lt;&gt;0,SUMIF($G$11:$G28,"&gt;"&amp;$G28-1/24,C$11:C28),0)</f>
        <v>0</v>
      </c>
      <c r="J28">
        <f>IF(D28&lt;&gt;0,SUMIF($G$11:$G28,"&gt;"&amp;$G28-1/24,D$11:D28),0)</f>
        <v>2368</v>
      </c>
      <c r="K28">
        <f>IF(E28&lt;&gt;0,SUMIF($G$11:$G28,"&gt;"&amp;$G28-1/24,E$11:E28),0)</f>
        <v>0</v>
      </c>
      <c r="L28">
        <f t="shared" si="4"/>
        <v>0</v>
      </c>
      <c r="N28" t="str">
        <f t="shared" si="5"/>
        <v>PM</v>
      </c>
      <c r="O28" s="7">
        <f t="shared" si="2"/>
        <v>0.71875</v>
      </c>
      <c r="P28">
        <f t="shared" si="6"/>
        <v>555</v>
      </c>
      <c r="Q28">
        <f t="shared" si="7"/>
        <v>0</v>
      </c>
    </row>
    <row r="29" spans="1:21" x14ac:dyDescent="0.25">
      <c r="A29" s="9">
        <v>0.72916666666666663</v>
      </c>
      <c r="B29" s="49"/>
      <c r="C29" s="49"/>
      <c r="D29" s="49">
        <v>516</v>
      </c>
      <c r="G29" s="7">
        <f t="shared" si="8"/>
        <v>0.72916666666666663</v>
      </c>
      <c r="H29">
        <f>IF(B29&lt;&gt;0,SUMIF($G$11:$G29,"&gt;"&amp;$G29-1/24,B$11:B29),0)</f>
        <v>0</v>
      </c>
      <c r="I29">
        <f>IF(C29&lt;&gt;0,SUMIF($G$11:$G29,"&gt;"&amp;$G29-1/24,C$11:C29),0)</f>
        <v>0</v>
      </c>
      <c r="J29">
        <f>IF(D29&lt;&gt;0,SUMIF($G$11:$G29,"&gt;"&amp;$G29-1/24,D$11:D29),0)</f>
        <v>2255</v>
      </c>
      <c r="K29">
        <f>IF(E29&lt;&gt;0,SUMIF($G$11:$G29,"&gt;"&amp;$G29-1/24,E$11:E29),0)</f>
        <v>0</v>
      </c>
      <c r="L29">
        <f t="shared" si="4"/>
        <v>0</v>
      </c>
      <c r="N29" t="str">
        <f t="shared" si="5"/>
        <v>PM</v>
      </c>
      <c r="O29" s="7">
        <f t="shared" si="2"/>
        <v>0.72916666666666663</v>
      </c>
      <c r="P29">
        <f t="shared" si="6"/>
        <v>516</v>
      </c>
      <c r="Q29">
        <f t="shared" si="7"/>
        <v>0</v>
      </c>
    </row>
    <row r="30" spans="1:21" x14ac:dyDescent="0.25">
      <c r="A30" s="9">
        <v>0.73958333333333337</v>
      </c>
      <c r="B30" s="49"/>
      <c r="C30" s="49"/>
      <c r="D30" s="49">
        <v>406</v>
      </c>
      <c r="G30" s="7">
        <f t="shared" si="8"/>
        <v>0.73958333333333337</v>
      </c>
      <c r="H30">
        <f>IF(B30&lt;&gt;0,SUMIF($G$11:$G30,"&gt;"&amp;$G30-1/24,B$11:B30),0)</f>
        <v>0</v>
      </c>
      <c r="I30">
        <f>IF(C30&lt;&gt;0,SUMIF($G$11:$G30,"&gt;"&amp;$G30-1/24,C$11:C30),0)</f>
        <v>0</v>
      </c>
      <c r="J30">
        <f>IF(D30&lt;&gt;0,SUMIF($G$11:$G30,"&gt;"&amp;$G30-1/24,D$11:D30),0)</f>
        <v>2032</v>
      </c>
      <c r="K30">
        <f>IF(E30&lt;&gt;0,SUMIF($G$11:$G30,"&gt;"&amp;$G30-1/24,E$11:E30),0)</f>
        <v>0</v>
      </c>
      <c r="L30">
        <f t="shared" si="4"/>
        <v>0</v>
      </c>
      <c r="N30" t="str">
        <f t="shared" si="5"/>
        <v>PM</v>
      </c>
      <c r="O30" s="7">
        <f t="shared" si="2"/>
        <v>0.73958333333333337</v>
      </c>
      <c r="P30">
        <f t="shared" si="6"/>
        <v>406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475</v>
      </c>
      <c r="E5" t="str">
        <f>"Vehicle Count by Exit Leg for "&amp;C2&amp;" Period"</f>
        <v>Vehicle Count by Exit Leg for AM Period</v>
      </c>
    </row>
    <row r="6" spans="2:5" x14ac:dyDescent="0.25">
      <c r="B6" s="9">
        <v>0.30208333333333331</v>
      </c>
      <c r="C6" s="49">
        <v>506</v>
      </c>
    </row>
    <row r="7" spans="2:5" x14ac:dyDescent="0.25">
      <c r="B7" s="9">
        <v>0.3125</v>
      </c>
      <c r="C7" s="49">
        <v>585</v>
      </c>
    </row>
    <row r="8" spans="2:5" x14ac:dyDescent="0.25">
      <c r="B8" s="9">
        <v>0.32291666666666669</v>
      </c>
      <c r="C8" s="49">
        <v>603</v>
      </c>
    </row>
    <row r="9" spans="2:5" x14ac:dyDescent="0.25">
      <c r="B9" s="9">
        <v>0.33333333333333331</v>
      </c>
      <c r="C9" s="49">
        <v>582</v>
      </c>
    </row>
    <row r="10" spans="2:5" x14ac:dyDescent="0.25">
      <c r="B10" s="9">
        <v>0.34375</v>
      </c>
      <c r="C10" s="49">
        <v>516</v>
      </c>
    </row>
    <row r="11" spans="2:5" x14ac:dyDescent="0.25">
      <c r="B11" s="9">
        <v>0.35416666666666669</v>
      </c>
      <c r="C11" s="49">
        <v>548</v>
      </c>
    </row>
    <row r="12" spans="2:5" x14ac:dyDescent="0.25">
      <c r="B12" s="9">
        <v>0.36458333333333331</v>
      </c>
      <c r="C12" s="49">
        <v>539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19.140625" bestFit="1" customWidth="1"/>
    <col min="13" max="13" width="20.28515625" bestFit="1" customWidth="1"/>
    <col min="14" max="14" width="8.28515625" customWidth="1"/>
    <col min="15" max="15" width="5.5703125" customWidth="1"/>
    <col min="16" max="18" width="3.28515625" customWidth="1"/>
    <col min="19" max="19" width="11.28515625" bestFit="1" customWidth="1"/>
    <col min="20" max="20" width="20.85546875" bestFit="1" customWidth="1"/>
    <col min="21" max="21" width="19.140625" bestFit="1" customWidth="1"/>
    <col min="22" max="22" width="20.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475</v>
      </c>
      <c r="J26" s="9">
        <v>0.29166666666666669</v>
      </c>
      <c r="K26" s="50">
        <v>50</v>
      </c>
      <c r="L26" s="50">
        <v>285</v>
      </c>
      <c r="M26" s="50">
        <v>140</v>
      </c>
      <c r="S26" s="9">
        <v>0.29166666666666669</v>
      </c>
      <c r="T26" s="50">
        <v>10</v>
      </c>
      <c r="U26" s="50">
        <v>170</v>
      </c>
      <c r="V26" s="50">
        <v>295</v>
      </c>
    </row>
    <row r="27" spans="2:24" x14ac:dyDescent="0.25">
      <c r="B27" s="9">
        <v>0.30208333333333331</v>
      </c>
      <c r="C27" s="50">
        <v>506</v>
      </c>
      <c r="J27" s="9">
        <v>0.30208333333333331</v>
      </c>
      <c r="K27" s="50">
        <v>46</v>
      </c>
      <c r="L27" s="50">
        <v>301</v>
      </c>
      <c r="M27" s="50">
        <v>159</v>
      </c>
      <c r="S27" s="9">
        <v>0.30208333333333331</v>
      </c>
      <c r="T27" s="50">
        <v>14</v>
      </c>
      <c r="U27" s="50">
        <v>179</v>
      </c>
      <c r="V27" s="50">
        <v>313</v>
      </c>
    </row>
    <row r="28" spans="2:24" x14ac:dyDescent="0.25">
      <c r="B28" s="9">
        <v>0.3125</v>
      </c>
      <c r="C28" s="50">
        <v>585</v>
      </c>
      <c r="J28" s="9">
        <v>0.3125</v>
      </c>
      <c r="K28" s="50">
        <v>61</v>
      </c>
      <c r="L28" s="50">
        <v>316</v>
      </c>
      <c r="M28" s="50">
        <v>208</v>
      </c>
      <c r="S28" s="9">
        <v>0.3125</v>
      </c>
      <c r="T28" s="50">
        <v>20</v>
      </c>
      <c r="U28" s="50">
        <v>238</v>
      </c>
      <c r="V28" s="50">
        <v>327</v>
      </c>
    </row>
    <row r="29" spans="2:24" x14ac:dyDescent="0.25">
      <c r="B29" s="9">
        <v>0.32291666666666669</v>
      </c>
      <c r="C29" s="50">
        <v>603</v>
      </c>
      <c r="J29" s="9">
        <v>0.32291666666666669</v>
      </c>
      <c r="K29" s="50">
        <v>82</v>
      </c>
      <c r="L29" s="50">
        <v>302</v>
      </c>
      <c r="M29" s="50">
        <v>219</v>
      </c>
      <c r="S29" s="9">
        <v>0.32291666666666669</v>
      </c>
      <c r="T29" s="50">
        <v>17</v>
      </c>
      <c r="U29" s="50">
        <v>251</v>
      </c>
      <c r="V29" s="50">
        <v>335</v>
      </c>
    </row>
    <row r="30" spans="2:24" x14ac:dyDescent="0.25">
      <c r="B30" s="9">
        <v>0.33333333333333331</v>
      </c>
      <c r="C30" s="50">
        <v>582</v>
      </c>
      <c r="J30" s="9">
        <v>0.33333333333333331</v>
      </c>
      <c r="K30" s="50">
        <v>111</v>
      </c>
      <c r="L30" s="50">
        <v>254</v>
      </c>
      <c r="M30" s="50">
        <v>217</v>
      </c>
      <c r="S30" s="9">
        <v>0.33333333333333331</v>
      </c>
      <c r="T30" s="50">
        <v>31</v>
      </c>
      <c r="U30" s="50">
        <v>260</v>
      </c>
      <c r="V30" s="50">
        <v>291</v>
      </c>
    </row>
    <row r="31" spans="2:24" x14ac:dyDescent="0.25">
      <c r="B31" s="9">
        <v>0.34375</v>
      </c>
      <c r="C31" s="50">
        <v>516</v>
      </c>
      <c r="J31" s="9">
        <v>0.34375</v>
      </c>
      <c r="K31" s="50">
        <v>86</v>
      </c>
      <c r="L31" s="50">
        <v>225</v>
      </c>
      <c r="M31" s="50">
        <v>205</v>
      </c>
      <c r="S31" s="9">
        <v>0.34375</v>
      </c>
      <c r="T31" s="50">
        <v>43</v>
      </c>
      <c r="U31" s="50">
        <v>238</v>
      </c>
      <c r="V31" s="50">
        <v>235</v>
      </c>
    </row>
    <row r="32" spans="2:24" x14ac:dyDescent="0.25">
      <c r="B32" s="9">
        <v>0.35416666666666669</v>
      </c>
      <c r="C32" s="50">
        <v>548</v>
      </c>
      <c r="J32" s="9">
        <v>0.35416666666666669</v>
      </c>
      <c r="K32" s="50">
        <v>53</v>
      </c>
      <c r="L32" s="50">
        <v>269</v>
      </c>
      <c r="M32" s="50">
        <v>226</v>
      </c>
      <c r="S32" s="9">
        <v>0.35416666666666669</v>
      </c>
      <c r="T32" s="50">
        <v>41</v>
      </c>
      <c r="U32" s="50">
        <v>243</v>
      </c>
      <c r="V32" s="50">
        <v>264</v>
      </c>
    </row>
    <row r="33" spans="2:22" x14ac:dyDescent="0.25">
      <c r="B33" s="9">
        <v>0.36458333333333331</v>
      </c>
      <c r="C33" s="50">
        <v>539</v>
      </c>
      <c r="J33" s="9">
        <v>0.36458333333333331</v>
      </c>
      <c r="K33" s="50">
        <v>33</v>
      </c>
      <c r="L33" s="50">
        <v>307</v>
      </c>
      <c r="M33" s="50">
        <v>199</v>
      </c>
      <c r="S33" s="9">
        <v>0.36458333333333331</v>
      </c>
      <c r="T33" s="50">
        <v>41</v>
      </c>
      <c r="U33" s="50">
        <v>208</v>
      </c>
      <c r="V33" s="50">
        <v>290</v>
      </c>
    </row>
    <row r="34" spans="2:22" x14ac:dyDescent="0.25">
      <c r="B34" s="9" t="s">
        <v>49</v>
      </c>
      <c r="C34" s="50">
        <v>4354</v>
      </c>
      <c r="J34" s="9" t="s">
        <v>49</v>
      </c>
      <c r="K34" s="50">
        <v>522</v>
      </c>
      <c r="L34" s="50">
        <v>2259</v>
      </c>
      <c r="M34" s="50">
        <v>1573</v>
      </c>
      <c r="S34" s="9" t="s">
        <v>49</v>
      </c>
      <c r="T34" s="50">
        <v>217</v>
      </c>
      <c r="U34" s="50">
        <v>1787</v>
      </c>
      <c r="V34" s="50">
        <v>2350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2286 vehicles between 07:30 and 08:30</v>
      </c>
    </row>
    <row r="5" spans="2:2" x14ac:dyDescent="0.25">
      <c r="B5" s="6" t="str">
        <f>PeakCalc!I8</f>
        <v>The peak hour for INT is 1497 vehicles between 13:00 and 14:00</v>
      </c>
    </row>
    <row r="6" spans="2:2" x14ac:dyDescent="0.25">
      <c r="B6" s="6" t="str">
        <f>PeakCalc!J8</f>
        <v>The peak hour for PM is 2397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333</v>
      </c>
      <c r="D32" s="49">
        <v>6</v>
      </c>
      <c r="E32" s="49">
        <v>1</v>
      </c>
      <c r="F32" s="49">
        <v>340</v>
      </c>
      <c r="G32" s="49">
        <v>111</v>
      </c>
      <c r="H32" s="49">
        <v>3</v>
      </c>
      <c r="I32" s="49">
        <v>0</v>
      </c>
      <c r="J32" s="49">
        <v>114</v>
      </c>
      <c r="K32" s="49">
        <v>115</v>
      </c>
      <c r="L32" s="49">
        <v>5</v>
      </c>
      <c r="M32" s="49">
        <v>0</v>
      </c>
      <c r="N32" s="49">
        <v>120</v>
      </c>
    </row>
    <row r="33" spans="2:14" x14ac:dyDescent="0.25">
      <c r="B33" s="14" t="s">
        <v>96</v>
      </c>
      <c r="C33" s="49">
        <v>180</v>
      </c>
      <c r="D33" s="49">
        <v>5</v>
      </c>
      <c r="E33" s="49">
        <v>1</v>
      </c>
      <c r="F33" s="49">
        <v>186</v>
      </c>
      <c r="G33" s="49">
        <v>83</v>
      </c>
      <c r="H33" s="49">
        <v>2</v>
      </c>
      <c r="I33" s="49">
        <v>0</v>
      </c>
      <c r="J33" s="49">
        <v>85</v>
      </c>
      <c r="K33" s="49">
        <v>69</v>
      </c>
      <c r="L33" s="49">
        <v>4</v>
      </c>
      <c r="M33" s="49">
        <v>0</v>
      </c>
      <c r="N33" s="49">
        <v>73</v>
      </c>
    </row>
    <row r="34" spans="2:14" x14ac:dyDescent="0.25">
      <c r="B34" s="14" t="s">
        <v>97</v>
      </c>
      <c r="C34" s="49">
        <v>153</v>
      </c>
      <c r="D34" s="49">
        <v>1</v>
      </c>
      <c r="E34" s="49">
        <v>0</v>
      </c>
      <c r="F34" s="49">
        <v>154</v>
      </c>
      <c r="G34" s="49">
        <v>28</v>
      </c>
      <c r="H34" s="49">
        <v>1</v>
      </c>
      <c r="I34" s="49">
        <v>0</v>
      </c>
      <c r="J34" s="49">
        <v>29</v>
      </c>
      <c r="K34" s="49">
        <v>46</v>
      </c>
      <c r="L34" s="49">
        <v>1</v>
      </c>
      <c r="M34" s="49">
        <v>0</v>
      </c>
      <c r="N34" s="49">
        <v>47</v>
      </c>
    </row>
    <row r="35" spans="2:14" x14ac:dyDescent="0.25">
      <c r="B35" s="10" t="s">
        <v>94</v>
      </c>
      <c r="C35" s="49">
        <v>1066</v>
      </c>
      <c r="D35" s="49">
        <v>30</v>
      </c>
      <c r="E35" s="49">
        <v>1</v>
      </c>
      <c r="F35" s="49">
        <v>1097</v>
      </c>
      <c r="G35" s="49">
        <v>1003</v>
      </c>
      <c r="H35" s="49">
        <v>21</v>
      </c>
      <c r="I35" s="49">
        <v>2</v>
      </c>
      <c r="J35" s="49">
        <v>1026</v>
      </c>
      <c r="K35" s="49">
        <v>657</v>
      </c>
      <c r="L35" s="49">
        <v>39</v>
      </c>
      <c r="M35" s="49">
        <v>0</v>
      </c>
      <c r="N35" s="49">
        <v>696</v>
      </c>
    </row>
    <row r="36" spans="2:14" x14ac:dyDescent="0.25">
      <c r="B36" s="14" t="s">
        <v>98</v>
      </c>
      <c r="C36" s="49">
        <v>1005</v>
      </c>
      <c r="D36" s="49">
        <v>28</v>
      </c>
      <c r="E36" s="49">
        <v>1</v>
      </c>
      <c r="F36" s="49">
        <v>1034</v>
      </c>
      <c r="G36" s="49">
        <v>867</v>
      </c>
      <c r="H36" s="49">
        <v>20</v>
      </c>
      <c r="I36" s="49">
        <v>0</v>
      </c>
      <c r="J36" s="49">
        <v>887</v>
      </c>
      <c r="K36" s="49">
        <v>576</v>
      </c>
      <c r="L36" s="49">
        <v>37</v>
      </c>
      <c r="M36" s="49">
        <v>0</v>
      </c>
      <c r="N36" s="49">
        <v>613</v>
      </c>
    </row>
    <row r="37" spans="2:14" x14ac:dyDescent="0.25">
      <c r="B37" s="14" t="s">
        <v>99</v>
      </c>
      <c r="C37" s="49">
        <v>61</v>
      </c>
      <c r="D37" s="49">
        <v>2</v>
      </c>
      <c r="E37" s="49">
        <v>0</v>
      </c>
      <c r="F37" s="49">
        <v>63</v>
      </c>
      <c r="G37" s="49">
        <v>136</v>
      </c>
      <c r="H37" s="49">
        <v>1</v>
      </c>
      <c r="I37" s="49">
        <v>2</v>
      </c>
      <c r="J37" s="49">
        <v>139</v>
      </c>
      <c r="K37" s="49">
        <v>81</v>
      </c>
      <c r="L37" s="49">
        <v>2</v>
      </c>
      <c r="M37" s="49">
        <v>0</v>
      </c>
      <c r="N37" s="49">
        <v>83</v>
      </c>
    </row>
    <row r="38" spans="2:14" x14ac:dyDescent="0.25">
      <c r="B38" s="10" t="s">
        <v>95</v>
      </c>
      <c r="C38" s="49">
        <v>800</v>
      </c>
      <c r="D38" s="49">
        <v>44</v>
      </c>
      <c r="E38" s="49">
        <v>5</v>
      </c>
      <c r="F38" s="49">
        <v>849</v>
      </c>
      <c r="G38" s="49">
        <v>1243</v>
      </c>
      <c r="H38" s="49">
        <v>11</v>
      </c>
      <c r="I38" s="49">
        <v>3</v>
      </c>
      <c r="J38" s="49">
        <v>1257</v>
      </c>
      <c r="K38" s="49">
        <v>633</v>
      </c>
      <c r="L38" s="49">
        <v>48</v>
      </c>
      <c r="M38" s="49">
        <v>0</v>
      </c>
      <c r="N38" s="49">
        <v>681</v>
      </c>
    </row>
    <row r="39" spans="2:14" x14ac:dyDescent="0.25">
      <c r="B39" s="14" t="s">
        <v>100</v>
      </c>
      <c r="C39" s="49">
        <v>46</v>
      </c>
      <c r="D39" s="49">
        <v>2</v>
      </c>
      <c r="E39" s="49">
        <v>0</v>
      </c>
      <c r="F39" s="49">
        <v>48</v>
      </c>
      <c r="G39" s="49">
        <v>69</v>
      </c>
      <c r="H39" s="49">
        <v>0</v>
      </c>
      <c r="I39" s="49">
        <v>0</v>
      </c>
      <c r="J39" s="49">
        <v>69</v>
      </c>
      <c r="K39" s="49">
        <v>44</v>
      </c>
      <c r="L39" s="49">
        <v>1</v>
      </c>
      <c r="M39" s="49">
        <v>0</v>
      </c>
      <c r="N39" s="49">
        <v>45</v>
      </c>
    </row>
    <row r="40" spans="2:14" x14ac:dyDescent="0.25">
      <c r="B40" s="14" t="s">
        <v>101</v>
      </c>
      <c r="C40" s="49">
        <v>754</v>
      </c>
      <c r="D40" s="49">
        <v>42</v>
      </c>
      <c r="E40" s="49">
        <v>5</v>
      </c>
      <c r="F40" s="49">
        <v>801</v>
      </c>
      <c r="G40" s="49">
        <v>1174</v>
      </c>
      <c r="H40" s="49">
        <v>11</v>
      </c>
      <c r="I40" s="49">
        <v>3</v>
      </c>
      <c r="J40" s="49">
        <v>1188</v>
      </c>
      <c r="K40" s="49">
        <v>589</v>
      </c>
      <c r="L40" s="49">
        <v>47</v>
      </c>
      <c r="M40" s="49">
        <v>0</v>
      </c>
      <c r="N40" s="49">
        <v>636</v>
      </c>
    </row>
    <row r="41" spans="2:14" x14ac:dyDescent="0.25">
      <c r="B41" s="10" t="s">
        <v>49</v>
      </c>
      <c r="C41" s="49">
        <v>2199</v>
      </c>
      <c r="D41" s="49">
        <v>80</v>
      </c>
      <c r="E41" s="49">
        <v>7</v>
      </c>
      <c r="F41" s="49">
        <v>2286</v>
      </c>
      <c r="G41" s="49">
        <v>2357</v>
      </c>
      <c r="H41" s="49">
        <v>35</v>
      </c>
      <c r="I41" s="49">
        <v>5</v>
      </c>
      <c r="J41" s="49">
        <v>2397</v>
      </c>
      <c r="K41" s="49">
        <v>1405</v>
      </c>
      <c r="L41" s="49">
        <v>92</v>
      </c>
      <c r="M41" s="49">
        <v>0</v>
      </c>
      <c r="N41" s="49">
        <v>1497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63C1-C663-488A-BCDA-0574846CE9C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31</v>
      </c>
      <c r="D15" s="55" t="s">
        <v>113</v>
      </c>
      <c r="E15" s="55" t="s">
        <v>113</v>
      </c>
      <c r="F15" s="55" t="s">
        <v>113</v>
      </c>
      <c r="G15" s="55">
        <v>16</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273</v>
      </c>
      <c r="V15" s="55" t="s">
        <v>113</v>
      </c>
      <c r="W15" s="55">
        <v>5</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4</v>
      </c>
      <c r="AZ15" s="55" t="s">
        <v>113</v>
      </c>
      <c r="BA15" s="55">
        <v>132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27</v>
      </c>
      <c r="D16" s="55" t="s">
        <v>113</v>
      </c>
      <c r="E16" s="55" t="s">
        <v>113</v>
      </c>
      <c r="F16" s="55" t="s">
        <v>113</v>
      </c>
      <c r="G16" s="55">
        <v>18</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290</v>
      </c>
      <c r="V16" s="55" t="s">
        <v>113</v>
      </c>
      <c r="W16" s="55">
        <v>5</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8</v>
      </c>
      <c r="AZ16" s="55" t="s">
        <v>113</v>
      </c>
      <c r="BA16" s="55">
        <v>143</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39</v>
      </c>
      <c r="D17" s="55" t="s">
        <v>113</v>
      </c>
      <c r="E17" s="55" t="s">
        <v>113</v>
      </c>
      <c r="F17" s="55" t="s">
        <v>113</v>
      </c>
      <c r="G17" s="55">
        <v>22</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296</v>
      </c>
      <c r="V17" s="55" t="s">
        <v>113</v>
      </c>
      <c r="W17" s="55">
        <v>10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8</v>
      </c>
      <c r="AZ17" s="55" t="s">
        <v>113</v>
      </c>
      <c r="BA17" s="55">
        <v>193</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39</v>
      </c>
      <c r="D18" s="55" t="s">
        <v>113</v>
      </c>
      <c r="E18" s="55" t="s">
        <v>113</v>
      </c>
      <c r="F18" s="55" t="s">
        <v>113</v>
      </c>
      <c r="G18" s="55">
        <v>41</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289</v>
      </c>
      <c r="V18" s="55" t="s">
        <v>113</v>
      </c>
      <c r="W18" s="55">
        <v>8</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8</v>
      </c>
      <c r="AZ18" s="55" t="s">
        <v>113</v>
      </c>
      <c r="BA18" s="55">
        <v>197</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54</v>
      </c>
      <c r="D19" s="55" t="s">
        <v>113</v>
      </c>
      <c r="E19" s="55" t="s">
        <v>113</v>
      </c>
      <c r="F19" s="55" t="s">
        <v>113</v>
      </c>
      <c r="G19" s="55">
        <v>55</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228</v>
      </c>
      <c r="V19" s="55" t="s">
        <v>113</v>
      </c>
      <c r="W19" s="55">
        <v>18</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13</v>
      </c>
      <c r="AZ19" s="55" t="s">
        <v>113</v>
      </c>
      <c r="BA19" s="55">
        <v>190</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48</v>
      </c>
      <c r="D20" s="55" t="s">
        <v>113</v>
      </c>
      <c r="E20" s="55" t="s">
        <v>113</v>
      </c>
      <c r="F20" s="55" t="s">
        <v>113</v>
      </c>
      <c r="G20" s="55">
        <v>35</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192</v>
      </c>
      <c r="V20" s="55" t="s">
        <v>113</v>
      </c>
      <c r="W20" s="55">
        <v>25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17</v>
      </c>
      <c r="AZ20" s="55" t="s">
        <v>113</v>
      </c>
      <c r="BA20" s="55">
        <v>174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33</v>
      </c>
      <c r="D21" s="55" t="s">
        <v>113</v>
      </c>
      <c r="E21" s="55" t="s">
        <v>113</v>
      </c>
      <c r="F21" s="55" t="s">
        <v>113</v>
      </c>
      <c r="G21" s="55">
        <v>20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232</v>
      </c>
      <c r="V21" s="55" t="s">
        <v>113</v>
      </c>
      <c r="W21" s="55">
        <v>24</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16</v>
      </c>
      <c r="AZ21" s="55" t="s">
        <v>113</v>
      </c>
      <c r="BA21" s="55">
        <v>199</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21</v>
      </c>
      <c r="D22" s="55" t="s">
        <v>113</v>
      </c>
      <c r="E22" s="55" t="s">
        <v>113</v>
      </c>
      <c r="F22" s="55" t="s">
        <v>113</v>
      </c>
      <c r="G22" s="55">
        <v>11</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262</v>
      </c>
      <c r="V22" s="55" t="s">
        <v>113</v>
      </c>
      <c r="W22" s="55">
        <v>28</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12</v>
      </c>
      <c r="AZ22" s="55" t="s">
        <v>113</v>
      </c>
      <c r="BA22" s="55">
        <v>183</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14</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136</v>
      </c>
      <c r="V24" s="55" t="s">
        <v>113</v>
      </c>
      <c r="W24" s="55">
        <v>17</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12</v>
      </c>
      <c r="AZ24" s="55" t="s">
        <v>113</v>
      </c>
      <c r="BA24" s="55">
        <v>143</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15</v>
      </c>
      <c r="D25" s="55" t="s">
        <v>113</v>
      </c>
      <c r="E25" s="55" t="s">
        <v>113</v>
      </c>
      <c r="F25" s="55" t="s">
        <v>113</v>
      </c>
      <c r="G25" s="55">
        <v>16</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139</v>
      </c>
      <c r="V25" s="55" t="s">
        <v>113</v>
      </c>
      <c r="W25" s="55">
        <v>19</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11</v>
      </c>
      <c r="AZ25" s="55" t="s">
        <v>113</v>
      </c>
      <c r="BA25" s="55">
        <v>153</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14</v>
      </c>
      <c r="D26" s="55" t="s">
        <v>113</v>
      </c>
      <c r="E26" s="55" t="s">
        <v>113</v>
      </c>
      <c r="F26" s="55" t="s">
        <v>113</v>
      </c>
      <c r="G26" s="55">
        <v>14</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144</v>
      </c>
      <c r="V26" s="55" t="s">
        <v>113</v>
      </c>
      <c r="W26" s="55">
        <v>22</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12</v>
      </c>
      <c r="AZ26" s="55" t="s">
        <v>113</v>
      </c>
      <c r="BA26" s="55">
        <v>138</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26</v>
      </c>
      <c r="D27" s="55" t="s">
        <v>113</v>
      </c>
      <c r="E27" s="55" t="s">
        <v>113</v>
      </c>
      <c r="F27" s="55" t="s">
        <v>113</v>
      </c>
      <c r="G27" s="55">
        <v>11</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157</v>
      </c>
      <c r="V27" s="55" t="s">
        <v>113</v>
      </c>
      <c r="W27" s="55">
        <v>23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9</v>
      </c>
      <c r="AZ27" s="55" t="s">
        <v>113</v>
      </c>
      <c r="BA27" s="55">
        <v>155</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1</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25</v>
      </c>
      <c r="D29" s="55" t="s">
        <v>113</v>
      </c>
      <c r="E29" s="55" t="s">
        <v>113</v>
      </c>
      <c r="F29" s="55" t="s">
        <v>113</v>
      </c>
      <c r="G29" s="55">
        <v>12</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184</v>
      </c>
      <c r="V29" s="55" t="s">
        <v>113</v>
      </c>
      <c r="W29" s="55">
        <v>28</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17</v>
      </c>
      <c r="AZ29" s="55" t="s">
        <v>113</v>
      </c>
      <c r="BA29" s="55">
        <v>301</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16</v>
      </c>
      <c r="D30" s="55" t="s">
        <v>113</v>
      </c>
      <c r="E30" s="55" t="s">
        <v>113</v>
      </c>
      <c r="F30" s="55" t="s">
        <v>113</v>
      </c>
      <c r="G30" s="55">
        <v>9</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208</v>
      </c>
      <c r="V30" s="55" t="s">
        <v>113</v>
      </c>
      <c r="W30" s="55">
        <v>35</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21</v>
      </c>
      <c r="AZ30" s="55" t="s">
        <v>113</v>
      </c>
      <c r="BA30" s="55">
        <v>261</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23</v>
      </c>
      <c r="D31" s="55" t="s">
        <v>113</v>
      </c>
      <c r="E31" s="55" t="s">
        <v>113</v>
      </c>
      <c r="F31" s="55" t="s">
        <v>113</v>
      </c>
      <c r="G31" s="55">
        <v>2</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248</v>
      </c>
      <c r="V31" s="55" t="s">
        <v>113</v>
      </c>
      <c r="W31" s="55">
        <v>34</v>
      </c>
      <c r="X31" s="55" t="s">
        <v>113</v>
      </c>
      <c r="Y31" s="55">
        <v>1</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11</v>
      </c>
      <c r="AZ31" s="55" t="s">
        <v>113</v>
      </c>
      <c r="BA31" s="55">
        <v>298</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19</v>
      </c>
      <c r="D32" s="55" t="s">
        <v>113</v>
      </c>
      <c r="E32" s="55" t="s">
        <v>113</v>
      </c>
      <c r="F32" s="55" t="s">
        <v>113</v>
      </c>
      <c r="G32" s="55">
        <v>5</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227</v>
      </c>
      <c r="V32" s="55" t="s">
        <v>113</v>
      </c>
      <c r="W32" s="55">
        <v>39</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20</v>
      </c>
      <c r="AZ32" s="55" t="s">
        <v>113</v>
      </c>
      <c r="BA32" s="55">
        <v>314</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18</v>
      </c>
      <c r="D33" s="55" t="s">
        <v>113</v>
      </c>
      <c r="E33" s="55" t="s">
        <v>113</v>
      </c>
      <c r="F33" s="55" t="s">
        <v>113</v>
      </c>
      <c r="G33" s="55">
        <v>9</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203</v>
      </c>
      <c r="V33" s="55" t="s">
        <v>113</v>
      </c>
      <c r="W33" s="55">
        <v>43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26</v>
      </c>
      <c r="AZ33" s="55" t="s">
        <v>113</v>
      </c>
      <c r="BA33" s="55">
        <v>245</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27</v>
      </c>
      <c r="D34" s="55" t="s">
        <v>113</v>
      </c>
      <c r="E34" s="55" t="s">
        <v>113</v>
      </c>
      <c r="F34" s="55" t="s">
        <v>113</v>
      </c>
      <c r="G34" s="55">
        <v>8</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195</v>
      </c>
      <c r="V34" s="55" t="s">
        <v>113</v>
      </c>
      <c r="W34" s="55">
        <v>51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31</v>
      </c>
      <c r="AZ34" s="55" t="s">
        <v>113</v>
      </c>
      <c r="BA34" s="55">
        <v>240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13</v>
      </c>
      <c r="D35" s="55" t="s">
        <v>113</v>
      </c>
      <c r="E35" s="55" t="s">
        <v>113</v>
      </c>
      <c r="F35" s="55" t="s">
        <v>113</v>
      </c>
      <c r="G35" s="55">
        <v>7</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175</v>
      </c>
      <c r="V35" s="55" t="s">
        <v>113</v>
      </c>
      <c r="W35" s="55">
        <v>50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21</v>
      </c>
      <c r="AZ35" s="55" t="s">
        <v>113</v>
      </c>
      <c r="BA35" s="55">
        <v>240</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14</v>
      </c>
      <c r="D36" s="55" t="s">
        <v>113</v>
      </c>
      <c r="E36" s="55" t="s">
        <v>113</v>
      </c>
      <c r="F36" s="55" t="s">
        <v>113</v>
      </c>
      <c r="G36" s="55">
        <v>8</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154</v>
      </c>
      <c r="V36" s="55" t="s">
        <v>113</v>
      </c>
      <c r="W36" s="55">
        <v>37</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14</v>
      </c>
      <c r="AZ36" s="55" t="s">
        <v>113</v>
      </c>
      <c r="BA36" s="55">
        <v>177</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1</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68A0-794E-44AB-B451-7639903AE9B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6</v>
      </c>
      <c r="V15" s="55" t="s">
        <v>113</v>
      </c>
      <c r="W15" s="55">
        <v>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4</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5</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8</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8</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6</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v>
      </c>
      <c r="D18" s="55" t="s">
        <v>113</v>
      </c>
      <c r="E18" s="55" t="s">
        <v>113</v>
      </c>
      <c r="F18" s="55" t="s">
        <v>113</v>
      </c>
      <c r="G18" s="55">
        <v>1</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4</v>
      </c>
      <c r="V18" s="55" t="s">
        <v>113</v>
      </c>
      <c r="W18" s="55">
        <v>1</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12</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8</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12</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3</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8</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12</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12</v>
      </c>
      <c r="V21" s="55" t="s">
        <v>113</v>
      </c>
      <c r="W21" s="55">
        <v>1</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11</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1</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16</v>
      </c>
      <c r="V22" s="55" t="s">
        <v>113</v>
      </c>
      <c r="W22" s="55">
        <v>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4</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3</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8</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14</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15</v>
      </c>
      <c r="V25" s="55" t="s">
        <v>113</v>
      </c>
      <c r="W25" s="55">
        <v>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16</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1</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7</v>
      </c>
      <c r="V26" s="55" t="s">
        <v>113</v>
      </c>
      <c r="W26" s="55">
        <v>1</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9</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7</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v>
      </c>
      <c r="AZ27" s="55" t="s">
        <v>113</v>
      </c>
      <c r="BA27" s="55">
        <v>8</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6</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2</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5</v>
      </c>
      <c r="V30" s="55" t="s">
        <v>113</v>
      </c>
      <c r="W30" s="55">
        <v>1</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4</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v>
      </c>
      <c r="D31" s="55" t="s">
        <v>113</v>
      </c>
      <c r="E31" s="55" t="s">
        <v>113</v>
      </c>
      <c r="F31" s="55" t="s">
        <v>113</v>
      </c>
      <c r="G31" s="55">
        <v>1</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7</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2</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4</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5</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4</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3</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2</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EB5BD-12D0-4B9B-8EA9-22B12EDDB25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2</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0</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0</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0</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2</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0</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2</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0</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1</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0</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0</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0</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0</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0</v>
      </c>
      <c r="V30" s="55" t="s">
        <v>113</v>
      </c>
      <c r="W30" s="55">
        <v>2</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1</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2</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0</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0</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0</v>
      </c>
      <c r="V35" s="55" t="s">
        <v>113</v>
      </c>
      <c r="W35" s="55">
        <v>1</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1</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F0A2-6663-4989-A45B-41F573513D5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34</v>
      </c>
      <c r="D15" s="55" t="s">
        <v>113</v>
      </c>
      <c r="E15" s="55" t="s">
        <v>113</v>
      </c>
      <c r="F15" s="55" t="s">
        <v>113</v>
      </c>
      <c r="G15" s="55">
        <v>16</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279</v>
      </c>
      <c r="V15" s="55" t="s">
        <v>113</v>
      </c>
      <c r="W15" s="55">
        <v>6</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4</v>
      </c>
      <c r="AZ15" s="55" t="s">
        <v>113</v>
      </c>
      <c r="BA15" s="55">
        <v>136</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28</v>
      </c>
      <c r="D16" s="55" t="s">
        <v>113</v>
      </c>
      <c r="E16" s="55" t="s">
        <v>113</v>
      </c>
      <c r="F16" s="55" t="s">
        <v>113</v>
      </c>
      <c r="G16" s="55">
        <v>18</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295</v>
      </c>
      <c r="V16" s="55" t="s">
        <v>113</v>
      </c>
      <c r="W16" s="55">
        <v>6</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8</v>
      </c>
      <c r="AZ16" s="55" t="s">
        <v>113</v>
      </c>
      <c r="BA16" s="55">
        <v>151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39</v>
      </c>
      <c r="D17" s="55" t="s">
        <v>113</v>
      </c>
      <c r="E17" s="55" t="s">
        <v>113</v>
      </c>
      <c r="F17" s="55" t="s">
        <v>113</v>
      </c>
      <c r="G17" s="55">
        <v>22</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305</v>
      </c>
      <c r="V17" s="55" t="s">
        <v>113</v>
      </c>
      <c r="W17" s="55">
        <v>11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9</v>
      </c>
      <c r="AZ17" s="55" t="s">
        <v>113</v>
      </c>
      <c r="BA17" s="55">
        <v>199</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40</v>
      </c>
      <c r="D18" s="55" t="s">
        <v>113</v>
      </c>
      <c r="E18" s="55" t="s">
        <v>113</v>
      </c>
      <c r="F18" s="55" t="s">
        <v>113</v>
      </c>
      <c r="G18" s="55">
        <v>42</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293</v>
      </c>
      <c r="V18" s="55" t="s">
        <v>113</v>
      </c>
      <c r="W18" s="55">
        <v>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8</v>
      </c>
      <c r="AZ18" s="55" t="s">
        <v>113</v>
      </c>
      <c r="BA18" s="55">
        <v>211</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56</v>
      </c>
      <c r="D19" s="55" t="s">
        <v>113</v>
      </c>
      <c r="E19" s="55" t="s">
        <v>113</v>
      </c>
      <c r="F19" s="55" t="s">
        <v>113</v>
      </c>
      <c r="G19" s="55">
        <v>55</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236</v>
      </c>
      <c r="V19" s="55" t="s">
        <v>113</v>
      </c>
      <c r="W19" s="55">
        <v>18</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13</v>
      </c>
      <c r="AZ19" s="55" t="s">
        <v>113</v>
      </c>
      <c r="BA19" s="55">
        <v>204</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51</v>
      </c>
      <c r="D20" s="55" t="s">
        <v>113</v>
      </c>
      <c r="E20" s="55" t="s">
        <v>113</v>
      </c>
      <c r="F20" s="55" t="s">
        <v>113</v>
      </c>
      <c r="G20" s="55">
        <v>35</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200</v>
      </c>
      <c r="V20" s="55" t="s">
        <v>113</v>
      </c>
      <c r="W20" s="55">
        <v>25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18</v>
      </c>
      <c r="AZ20" s="55" t="s">
        <v>113</v>
      </c>
      <c r="BA20" s="55">
        <v>187</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33</v>
      </c>
      <c r="D21" s="55" t="s">
        <v>113</v>
      </c>
      <c r="E21" s="55" t="s">
        <v>113</v>
      </c>
      <c r="F21" s="55" t="s">
        <v>113</v>
      </c>
      <c r="G21" s="55">
        <v>20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244</v>
      </c>
      <c r="V21" s="55" t="s">
        <v>113</v>
      </c>
      <c r="W21" s="55">
        <v>25</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16</v>
      </c>
      <c r="AZ21" s="55" t="s">
        <v>113</v>
      </c>
      <c r="BA21" s="55">
        <v>210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21</v>
      </c>
      <c r="D22" s="55" t="s">
        <v>113</v>
      </c>
      <c r="E22" s="55" t="s">
        <v>113</v>
      </c>
      <c r="F22" s="55" t="s">
        <v>113</v>
      </c>
      <c r="G22" s="55">
        <v>12</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278</v>
      </c>
      <c r="V22" s="55" t="s">
        <v>113</v>
      </c>
      <c r="W22" s="55">
        <v>29</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12</v>
      </c>
      <c r="AZ22" s="55" t="s">
        <v>113</v>
      </c>
      <c r="BA22" s="55">
        <v>187</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17</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144</v>
      </c>
      <c r="V24" s="55" t="s">
        <v>113</v>
      </c>
      <c r="W24" s="55">
        <v>17</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12</v>
      </c>
      <c r="AZ24" s="55" t="s">
        <v>113</v>
      </c>
      <c r="BA24" s="55">
        <v>157</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16</v>
      </c>
      <c r="D25" s="55" t="s">
        <v>113</v>
      </c>
      <c r="E25" s="55" t="s">
        <v>113</v>
      </c>
      <c r="F25" s="55" t="s">
        <v>113</v>
      </c>
      <c r="G25" s="55">
        <v>16</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154</v>
      </c>
      <c r="V25" s="55" t="s">
        <v>113</v>
      </c>
      <c r="W25" s="55">
        <v>20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11</v>
      </c>
      <c r="AZ25" s="55" t="s">
        <v>113</v>
      </c>
      <c r="BA25" s="55">
        <v>169</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14</v>
      </c>
      <c r="D26" s="55" t="s">
        <v>113</v>
      </c>
      <c r="E26" s="55" t="s">
        <v>113</v>
      </c>
      <c r="F26" s="55" t="s">
        <v>113</v>
      </c>
      <c r="G26" s="55">
        <v>15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151</v>
      </c>
      <c r="V26" s="55" t="s">
        <v>113</v>
      </c>
      <c r="W26" s="55">
        <v>23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12</v>
      </c>
      <c r="AZ26" s="55" t="s">
        <v>113</v>
      </c>
      <c r="BA26" s="55">
        <v>147</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26</v>
      </c>
      <c r="D27" s="55" t="s">
        <v>113</v>
      </c>
      <c r="E27" s="55" t="s">
        <v>113</v>
      </c>
      <c r="F27" s="55" t="s">
        <v>113</v>
      </c>
      <c r="G27" s="55">
        <v>11</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164</v>
      </c>
      <c r="V27" s="55" t="s">
        <v>113</v>
      </c>
      <c r="W27" s="55">
        <v>23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10</v>
      </c>
      <c r="AZ27" s="55" t="s">
        <v>113</v>
      </c>
      <c r="BA27" s="55">
        <v>163</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1</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26</v>
      </c>
      <c r="D29" s="55" t="s">
        <v>113</v>
      </c>
      <c r="E29" s="55" t="s">
        <v>113</v>
      </c>
      <c r="F29" s="55" t="s">
        <v>113</v>
      </c>
      <c r="G29" s="55">
        <v>12</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190</v>
      </c>
      <c r="V29" s="55" t="s">
        <v>113</v>
      </c>
      <c r="W29" s="55">
        <v>28</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17</v>
      </c>
      <c r="AZ29" s="55" t="s">
        <v>113</v>
      </c>
      <c r="BA29" s="55">
        <v>303</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16</v>
      </c>
      <c r="D30" s="55" t="s">
        <v>113</v>
      </c>
      <c r="E30" s="55" t="s">
        <v>113</v>
      </c>
      <c r="F30" s="55" t="s">
        <v>113</v>
      </c>
      <c r="G30" s="55">
        <v>9</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213</v>
      </c>
      <c r="V30" s="55" t="s">
        <v>113</v>
      </c>
      <c r="W30" s="55">
        <v>38</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21</v>
      </c>
      <c r="AZ30" s="55" t="s">
        <v>113</v>
      </c>
      <c r="BA30" s="55">
        <v>266</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24</v>
      </c>
      <c r="D31" s="55" t="s">
        <v>113</v>
      </c>
      <c r="E31" s="55" t="s">
        <v>113</v>
      </c>
      <c r="F31" s="55" t="s">
        <v>113</v>
      </c>
      <c r="G31" s="55">
        <v>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255</v>
      </c>
      <c r="V31" s="55" t="s">
        <v>113</v>
      </c>
      <c r="W31" s="55">
        <v>34</v>
      </c>
      <c r="X31" s="55" t="s">
        <v>113</v>
      </c>
      <c r="Y31" s="55">
        <v>1</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11</v>
      </c>
      <c r="AZ31" s="55" t="s">
        <v>113</v>
      </c>
      <c r="BA31" s="55">
        <v>302</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19</v>
      </c>
      <c r="D32" s="55" t="s">
        <v>113</v>
      </c>
      <c r="E32" s="55" t="s">
        <v>113</v>
      </c>
      <c r="F32" s="55" t="s">
        <v>113</v>
      </c>
      <c r="G32" s="55">
        <v>5</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229</v>
      </c>
      <c r="V32" s="55" t="s">
        <v>113</v>
      </c>
      <c r="W32" s="55">
        <v>39</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20</v>
      </c>
      <c r="AZ32" s="55" t="s">
        <v>113</v>
      </c>
      <c r="BA32" s="55">
        <v>317</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19</v>
      </c>
      <c r="D33" s="55" t="s">
        <v>113</v>
      </c>
      <c r="E33" s="55" t="s">
        <v>113</v>
      </c>
      <c r="F33" s="55" t="s">
        <v>113</v>
      </c>
      <c r="G33" s="55">
        <v>9</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208</v>
      </c>
      <c r="V33" s="55" t="s">
        <v>113</v>
      </c>
      <c r="W33" s="55">
        <v>43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26</v>
      </c>
      <c r="AZ33" s="55" t="s">
        <v>113</v>
      </c>
      <c r="BA33" s="55">
        <v>250</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27</v>
      </c>
      <c r="D34" s="55" t="s">
        <v>113</v>
      </c>
      <c r="E34" s="55" t="s">
        <v>113</v>
      </c>
      <c r="F34" s="55" t="s">
        <v>113</v>
      </c>
      <c r="G34" s="55">
        <v>8</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197</v>
      </c>
      <c r="V34" s="55" t="s">
        <v>113</v>
      </c>
      <c r="W34" s="55">
        <v>52</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31</v>
      </c>
      <c r="AZ34" s="55" t="s">
        <v>113</v>
      </c>
      <c r="BA34" s="55">
        <v>240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14</v>
      </c>
      <c r="D35" s="55" t="s">
        <v>113</v>
      </c>
      <c r="E35" s="55" t="s">
        <v>113</v>
      </c>
      <c r="F35" s="55" t="s">
        <v>113</v>
      </c>
      <c r="G35" s="55">
        <v>7</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179</v>
      </c>
      <c r="V35" s="55" t="s">
        <v>113</v>
      </c>
      <c r="W35" s="55">
        <v>51</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21</v>
      </c>
      <c r="AZ35" s="55" t="s">
        <v>113</v>
      </c>
      <c r="BA35" s="55">
        <v>244</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14</v>
      </c>
      <c r="D36" s="55" t="s">
        <v>113</v>
      </c>
      <c r="E36" s="55" t="s">
        <v>113</v>
      </c>
      <c r="F36" s="55" t="s">
        <v>113</v>
      </c>
      <c r="G36" s="55">
        <v>8</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154</v>
      </c>
      <c r="V36" s="55" t="s">
        <v>113</v>
      </c>
      <c r="W36" s="55">
        <v>37</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14</v>
      </c>
      <c r="AZ36" s="55" t="s">
        <v>113</v>
      </c>
      <c r="BA36" s="55">
        <v>179</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1</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2021-08-24T02:33:57Z</dcterms:modified>
</cp:coreProperties>
</file>