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615E8F04-833F-41BF-9389-BBBAF81CD426}"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187" i="6"/>
  <c r="Q163" i="6"/>
  <c r="Q155" i="6"/>
  <c r="Q139" i="6"/>
  <c r="Q115" i="6"/>
  <c r="Q107" i="6"/>
  <c r="Q75" i="6"/>
  <c r="Q67" i="6"/>
  <c r="Q282" i="6"/>
  <c r="Q250" i="6"/>
  <c r="Q226" i="6"/>
  <c r="Q202" i="6"/>
  <c r="Q162" i="6"/>
  <c r="Q106" i="6"/>
  <c r="Q90" i="6"/>
  <c r="Q50" i="6"/>
  <c r="Q280" i="6"/>
  <c r="Q177" i="6"/>
  <c r="Q140" i="6"/>
  <c r="Q88" i="6"/>
  <c r="Q41" i="6"/>
  <c r="Q276" i="6"/>
  <c r="Q110" i="6"/>
  <c r="Q71" i="6"/>
  <c r="Q300" i="6"/>
  <c r="Q254" i="6"/>
  <c r="Q190" i="6"/>
  <c r="Q137" i="6"/>
  <c r="Q73" i="6"/>
  <c r="Q302" i="6"/>
  <c r="Q263" i="6"/>
  <c r="Q238" i="6"/>
  <c r="Q199" i="6"/>
  <c r="Q96" i="6"/>
  <c r="Q57"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92" i="6"/>
  <c r="Q64" i="6"/>
  <c r="Q95" i="6"/>
  <c r="Q296" i="6"/>
  <c r="Q78" i="6"/>
  <c r="Q206" i="6"/>
  <c r="Q54" i="6"/>
  <c r="Q180" i="6"/>
  <c r="Q104" i="6"/>
  <c r="H8" i="6"/>
  <c r="B4" i="7" s="1"/>
  <c r="O6" i="6"/>
  <c r="I66" i="4" l="1"/>
  <c r="I146" i="4"/>
  <c r="I226" i="4"/>
  <c r="I306" i="4"/>
  <c r="I6" i="4"/>
  <c r="I86" i="4"/>
  <c r="I166" i="4"/>
  <c r="I246" i="4"/>
  <c r="I26" i="4"/>
  <c r="I106" i="4"/>
  <c r="I186" i="4"/>
  <c r="I266" i="4"/>
  <c r="I46" i="4"/>
  <c r="I126" i="4"/>
  <c r="I206" i="4"/>
  <c r="I286" i="4"/>
  <c r="I346" i="4"/>
  <c r="I326" i="4"/>
  <c r="I18" i="4"/>
  <c r="I98" i="4"/>
  <c r="I178" i="4"/>
  <c r="I258" i="4"/>
  <c r="I38" i="4"/>
  <c r="I118" i="4"/>
  <c r="I198" i="4"/>
  <c r="I278" i="4"/>
  <c r="I58" i="4"/>
  <c r="I138" i="4"/>
  <c r="I218" i="4"/>
  <c r="I298" i="4"/>
  <c r="I78" i="4"/>
  <c r="I158" i="4"/>
  <c r="I238" i="4"/>
  <c r="I318" i="4"/>
  <c r="I358" i="4"/>
  <c r="I338" i="4"/>
  <c r="I63" i="4"/>
  <c r="I143" i="4"/>
  <c r="I223" i="4"/>
  <c r="I323" i="4"/>
  <c r="I3" i="4"/>
  <c r="I83" i="4"/>
  <c r="I163" i="4"/>
  <c r="I243" i="4"/>
  <c r="I23" i="4"/>
  <c r="I103" i="4"/>
  <c r="I183" i="4"/>
  <c r="I263" i="4"/>
  <c r="I43" i="4"/>
  <c r="I123" i="4"/>
  <c r="I203" i="4"/>
  <c r="I283" i="4"/>
  <c r="I303" i="4"/>
  <c r="I343" i="4"/>
  <c r="I65" i="4"/>
  <c r="I145" i="4"/>
  <c r="I225" i="4"/>
  <c r="I325" i="4"/>
  <c r="I345" i="4"/>
  <c r="I5" i="4"/>
  <c r="I85" i="4"/>
  <c r="I165" i="4"/>
  <c r="I245" i="4"/>
  <c r="I25" i="4"/>
  <c r="I105" i="4"/>
  <c r="I185" i="4"/>
  <c r="I265" i="4"/>
  <c r="I45" i="4"/>
  <c r="I125" i="4"/>
  <c r="I205" i="4"/>
  <c r="I285" i="4"/>
  <c r="I305" i="4"/>
  <c r="I33" i="4"/>
  <c r="I113" i="4"/>
  <c r="I193" i="4"/>
  <c r="I273" i="4"/>
  <c r="I53" i="4"/>
  <c r="I133" i="4"/>
  <c r="I213" i="4"/>
  <c r="I73" i="4"/>
  <c r="I153" i="4"/>
  <c r="I233" i="4"/>
  <c r="I313" i="4"/>
  <c r="I353" i="4"/>
  <c r="I13" i="4"/>
  <c r="I93" i="4"/>
  <c r="I173" i="4"/>
  <c r="I253" i="4"/>
  <c r="I333" i="4"/>
  <c r="I293" i="4"/>
  <c r="I50" i="4"/>
  <c r="I130" i="4"/>
  <c r="I210" i="4"/>
  <c r="I290" i="4"/>
  <c r="I70" i="4"/>
  <c r="I150" i="4"/>
  <c r="I230" i="4"/>
  <c r="I10" i="4"/>
  <c r="I90" i="4"/>
  <c r="I170" i="4"/>
  <c r="I250" i="4"/>
  <c r="I30" i="4"/>
  <c r="I110" i="4"/>
  <c r="I190" i="4"/>
  <c r="I270" i="4"/>
  <c r="I310" i="4"/>
  <c r="I330" i="4"/>
  <c r="I350" i="4"/>
  <c r="I47" i="4"/>
  <c r="I127" i="4"/>
  <c r="I207" i="4"/>
  <c r="I287" i="4"/>
  <c r="I67" i="4"/>
  <c r="I147" i="4"/>
  <c r="I227" i="4"/>
  <c r="I307" i="4"/>
  <c r="I7" i="4"/>
  <c r="I87" i="4"/>
  <c r="I167" i="4"/>
  <c r="I247" i="4"/>
  <c r="I27" i="4"/>
  <c r="I107" i="4"/>
  <c r="I187" i="4"/>
  <c r="I267" i="4"/>
  <c r="I327" i="4"/>
  <c r="I347" i="4"/>
  <c r="I20" i="4"/>
  <c r="I100" i="4"/>
  <c r="I180" i="4"/>
  <c r="I260" i="4"/>
  <c r="I340" i="4"/>
  <c r="I360" i="4"/>
  <c r="I40" i="4"/>
  <c r="I120" i="4"/>
  <c r="I200" i="4"/>
  <c r="I280" i="4"/>
  <c r="I60" i="4"/>
  <c r="I140" i="4"/>
  <c r="I220" i="4"/>
  <c r="I300" i="4"/>
  <c r="I80" i="4"/>
  <c r="I160" i="4"/>
  <c r="I240" i="4"/>
  <c r="I320" i="4"/>
  <c r="I2" i="4"/>
  <c r="I82" i="4"/>
  <c r="I162" i="4"/>
  <c r="I242" i="4"/>
  <c r="I22" i="4"/>
  <c r="I102" i="4"/>
  <c r="I182" i="4"/>
  <c r="I262" i="4"/>
  <c r="I42" i="4"/>
  <c r="I122" i="4"/>
  <c r="I202" i="4"/>
  <c r="I282" i="4"/>
  <c r="I62" i="4"/>
  <c r="I142" i="4"/>
  <c r="I222" i="4"/>
  <c r="I302" i="4"/>
  <c r="I342" i="4"/>
  <c r="I322" i="4"/>
  <c r="I34" i="4"/>
  <c r="I114" i="4"/>
  <c r="I194" i="4"/>
  <c r="I274" i="4"/>
  <c r="I54" i="4"/>
  <c r="I134" i="4"/>
  <c r="I214" i="4"/>
  <c r="I294" i="4"/>
  <c r="I74" i="4"/>
  <c r="I154" i="4"/>
  <c r="I234" i="4"/>
  <c r="I334" i="4"/>
  <c r="I314" i="4"/>
  <c r="I14" i="4"/>
  <c r="I94" i="4"/>
  <c r="I174" i="4"/>
  <c r="I254" i="4"/>
  <c r="I354" i="4"/>
  <c r="I31" i="4"/>
  <c r="I111" i="4"/>
  <c r="I191" i="4"/>
  <c r="I271" i="4"/>
  <c r="I51" i="4"/>
  <c r="I131" i="4"/>
  <c r="I211" i="4"/>
  <c r="I291" i="4"/>
  <c r="I71" i="4"/>
  <c r="I151" i="4"/>
  <c r="I231" i="4"/>
  <c r="I11" i="4"/>
  <c r="I91" i="4"/>
  <c r="I171" i="4"/>
  <c r="I251" i="4"/>
  <c r="I331" i="4"/>
  <c r="I311" i="4"/>
  <c r="I351" i="4"/>
  <c r="I68" i="4"/>
  <c r="I148" i="4"/>
  <c r="I228" i="4"/>
  <c r="I308" i="4"/>
  <c r="I8" i="4"/>
  <c r="I88" i="4"/>
  <c r="I168" i="4"/>
  <c r="I248" i="4"/>
  <c r="I328" i="4"/>
  <c r="I348" i="4"/>
  <c r="I28" i="4"/>
  <c r="I108" i="4"/>
  <c r="I188" i="4"/>
  <c r="I268" i="4"/>
  <c r="I48" i="4"/>
  <c r="I128" i="4"/>
  <c r="I208" i="4"/>
  <c r="I288" i="4"/>
  <c r="I4" i="4"/>
  <c r="I84" i="4"/>
  <c r="I164" i="4"/>
  <c r="I244" i="4"/>
  <c r="I324" i="4"/>
  <c r="I344" i="4"/>
  <c r="I24" i="4"/>
  <c r="I104" i="4"/>
  <c r="I184" i="4"/>
  <c r="I264" i="4"/>
  <c r="I44" i="4"/>
  <c r="I124" i="4"/>
  <c r="I204" i="4"/>
  <c r="I284" i="4"/>
  <c r="I64" i="4"/>
  <c r="I144" i="4"/>
  <c r="I224" i="4"/>
  <c r="I304" i="4"/>
  <c r="I52" i="4"/>
  <c r="I132" i="4"/>
  <c r="I212" i="4"/>
  <c r="I292" i="4"/>
  <c r="I72" i="4"/>
  <c r="I152" i="4"/>
  <c r="I232" i="4"/>
  <c r="I312" i="4"/>
  <c r="I12" i="4"/>
  <c r="I92" i="4"/>
  <c r="I172" i="4"/>
  <c r="I252" i="4"/>
  <c r="I332" i="4"/>
  <c r="I352" i="4"/>
  <c r="I32" i="4"/>
  <c r="I112" i="4"/>
  <c r="I192" i="4"/>
  <c r="I272" i="4"/>
  <c r="I15" i="4"/>
  <c r="I95" i="4"/>
  <c r="I175" i="4"/>
  <c r="I255" i="4"/>
  <c r="I315" i="4"/>
  <c r="I35" i="4"/>
  <c r="I115" i="4"/>
  <c r="I195" i="4"/>
  <c r="I275" i="4"/>
  <c r="I55" i="4"/>
  <c r="I135" i="4"/>
  <c r="I215" i="4"/>
  <c r="I295" i="4"/>
  <c r="I335" i="4"/>
  <c r="I75" i="4"/>
  <c r="I155" i="4"/>
  <c r="I235" i="4"/>
  <c r="I355" i="4"/>
  <c r="I49" i="4"/>
  <c r="I129" i="4"/>
  <c r="I209" i="4"/>
  <c r="I69" i="4"/>
  <c r="I149" i="4"/>
  <c r="I229" i="4"/>
  <c r="I329" i="4"/>
  <c r="I9" i="4"/>
  <c r="I89" i="4"/>
  <c r="I169" i="4"/>
  <c r="I249" i="4"/>
  <c r="I269" i="4"/>
  <c r="I29" i="4"/>
  <c r="I109" i="4"/>
  <c r="I189" i="4"/>
  <c r="I309" i="4"/>
  <c r="I349" i="4"/>
  <c r="I289" i="4"/>
  <c r="I81" i="4"/>
  <c r="I161" i="4"/>
  <c r="I241" i="4"/>
  <c r="I301" i="4"/>
  <c r="I21" i="4"/>
  <c r="I101" i="4"/>
  <c r="I181" i="4"/>
  <c r="I261" i="4"/>
  <c r="I361" i="4"/>
  <c r="I41" i="4"/>
  <c r="I121" i="4"/>
  <c r="I201" i="4"/>
  <c r="I61" i="4"/>
  <c r="I141" i="4"/>
  <c r="I221" i="4"/>
  <c r="I281" i="4"/>
  <c r="I341" i="4"/>
  <c r="I321" i="4"/>
  <c r="I17" i="4"/>
  <c r="I97" i="4"/>
  <c r="I177" i="4"/>
  <c r="I257" i="4"/>
  <c r="I297" i="4"/>
  <c r="I37" i="4"/>
  <c r="I117" i="4"/>
  <c r="I197" i="4"/>
  <c r="I57" i="4"/>
  <c r="I137" i="4"/>
  <c r="I217" i="4"/>
  <c r="I77" i="4"/>
  <c r="I157" i="4"/>
  <c r="I237" i="4"/>
  <c r="I357" i="4"/>
  <c r="I277" i="4"/>
  <c r="I317" i="4"/>
  <c r="I337" i="4"/>
  <c r="I36" i="4"/>
  <c r="I116" i="4"/>
  <c r="I196" i="4"/>
  <c r="I276" i="4"/>
  <c r="I56" i="4"/>
  <c r="I136" i="4"/>
  <c r="I216" i="4"/>
  <c r="I296" i="4"/>
  <c r="I76" i="4"/>
  <c r="I156" i="4"/>
  <c r="I236" i="4"/>
  <c r="I316" i="4"/>
  <c r="I16" i="4"/>
  <c r="I96" i="4"/>
  <c r="I176" i="4"/>
  <c r="I256" i="4"/>
  <c r="I336" i="4"/>
  <c r="I356" i="4"/>
  <c r="I79" i="4"/>
  <c r="I159" i="4"/>
  <c r="I239" i="4"/>
  <c r="I19" i="4"/>
  <c r="I99" i="4"/>
  <c r="I179" i="4"/>
  <c r="I259" i="4"/>
  <c r="I39" i="4"/>
  <c r="I119" i="4"/>
  <c r="I199" i="4"/>
  <c r="I279" i="4"/>
  <c r="I59" i="4"/>
  <c r="I139" i="4"/>
  <c r="I219" i="4"/>
  <c r="I299" i="4"/>
  <c r="I3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<sst xmlns="http://schemas.openxmlformats.org/spreadsheetml/2006/main" count="7719" uniqueCount="169">
  <si>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</si>
  <si>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</si>
  <si>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</si>
  <si>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</si>
  <si>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</si>
  <si>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</si>
  <si>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</si>
  <si>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</si>
  <si>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</si>
  <si>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</si>
  <si>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</si>
  <si>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</si>
  <si>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</si>
  <si>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</si>
  <si>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</si>
  <si>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</si>
  <si>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</si>
  <si>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</si>
  <si>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</si>
  <si>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</si>
  <si>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</si>
  <si>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</si>
  <si>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</si>
  <si>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</si>
  <si>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</si>
  <si>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</si>
  <si>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</si>
  <si>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</si>
  <si>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</si>
  <si>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</si>
  <si>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</si>
  <si>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</si>
  <si>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</si>
  <si>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</si>
  <si>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</si>
  <si>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</si>
  <si>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</si>
  <si>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</si>
  <si>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</si>
  <si>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</si>
  <si>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</si>
  <si>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</si>
  <si>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</si>
  <si>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</si>
  <si>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</si>
  <si>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</si>
  <si>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</si>
  <si>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</si>
  <si>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</si>
  <si>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</si>
  <si>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</si>
  <si>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</si>
  <si>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</si>
  <si>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</si>
  <si>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</si>
  <si>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</si>
  <si>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</si>
  <si>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</si>
  <si>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</si>
  <si>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</si>
  <si>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</si>
  <si>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</si>
  <si>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</si>
  <si>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</si>
  <si>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</si>
  <si>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</si>
  <si>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</si>
  <si>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</si>
  <si>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</si>
  <si>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</si>
  <si>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</si>
  <si>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</si>
  <si>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</si>
  <si>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</si>
  <si>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</si>
  <si>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</si>
  <si>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</si>
  <si>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</si>
  <si>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</si>
  <si>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</si>
  <si>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</si>
  <si>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</si>
  <si>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</si>
  <si>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</si>
  <si>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</si>
  <si>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</si>
  <si>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</si>
  <si>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</si>
  <si>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</si>
  <si>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</si>
  <si>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</si>
  <si>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</si>
  <si>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Briggs_Palm Dr_Intersection</t>
  </si>
  <si>
    <t>Palm Drive</t>
  </si>
  <si>
    <t>Briggs Road East</t>
  </si>
  <si>
    <t>Briggs Road West</t>
  </si>
  <si>
    <t>Left into Briggs Road East</t>
  </si>
  <si>
    <t>Right into Briggs Road West</t>
  </si>
  <si>
    <t>Thru to Briggs Road West</t>
  </si>
  <si>
    <t>Right into Palm Drive</t>
  </si>
  <si>
    <t>Left into Palm Drive</t>
  </si>
  <si>
    <t>Thru to Briggs Road East</t>
  </si>
  <si>
    <t>Palm Drive Total</t>
  </si>
  <si>
    <t>Briggs Road East Total</t>
  </si>
  <si>
    <t>Briggs Road West Total</t>
  </si>
  <si>
    <t>Left into Briggs Road East Total</t>
  </si>
  <si>
    <t>Right into Briggs Road West Total</t>
  </si>
  <si>
    <t>Thru to Briggs Road West Total</t>
  </si>
  <si>
    <t>Right into Palm Drive Total</t>
  </si>
  <si>
    <t>Left into Palm Drive Total</t>
  </si>
  <si>
    <t>Thru to Briggs Road East Total</t>
  </si>
  <si>
    <t>INT Total</t>
  </si>
  <si>
    <t>Briggs Road_Palm Drive_Intersection      Fine      23/02/2021</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</si>
  <si>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</si>
  <si>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</si>
  <si>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</si>
  <si>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</si>
  <si>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</si>
  <si>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</si>
  <si>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</si>
  <si>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</si>
  <si>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</si>
  <si>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</si>
  <si>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</si>
  <si>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</si>
  <si>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</si>
  <si>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</si>
  <si>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</si>
  <si>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</si>
  <si>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</si>
  <si>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</si>
  <si>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</si>
  <si>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</si>
  <si>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</si>
  <si>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</si>
  <si>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</si>
  <si>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</si>
  <si>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</si>
  <si>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</si>
  <si>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</si>
  <si>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</si>
  <si>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</si>
  <si>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</si>
  <si>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</si>
  <si>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</si>
  <si>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</si>
  <si>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</si>
  <si>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</si>
  <si>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</si>
  <si>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</si>
  <si>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</si>
  <si>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</si>
  <si>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</si>
  <si>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</si>
  <si>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Briggs Rd Eastbound</t>
  </si>
  <si>
    <t>Briggs Rd Westbound</t>
  </si>
  <si>
    <t>Palm Dr</t>
  </si>
  <si>
    <t>Lights</t>
  </si>
  <si>
    <t>Classification</t>
  </si>
  <si>
    <t>Road</t>
  </si>
  <si>
    <t>Type</t>
  </si>
  <si>
    <t>Project</t>
  </si>
  <si>
    <t>Site Code</t>
  </si>
  <si>
    <t>02/23/2021</t>
  </si>
  <si>
    <t>Start Date</t>
  </si>
  <si>
    <t>CCC I3757 Briggs - Palm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</si>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</sst>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2636AF6-04F3-4338-9A46-F19A203BE02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Briggs_Palm Dr_Intersection.xlsx]Graphs!pvtGraphApproach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Briggs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187</c:v>
                </c:pt>
                <c:pt idx="1">
                  <c:v>167</c:v>
                </c:pt>
                <c:pt idx="2">
                  <c:v>205</c:v>
                </c:pt>
                <c:pt idx="3">
                  <c:v>181</c:v>
                </c:pt>
                <c:pt idx="4">
                  <c:v>199</c:v>
                </c:pt>
                <c:pt idx="5">
                  <c:v>190</c:v>
                </c:pt>
                <c:pt idx="6">
                  <c:v>221</c:v>
                </c:pt>
                <c:pt idx="7">
                  <c:v>174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Briggs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67</c:v>
                </c:pt>
                <c:pt idx="2">
                  <c:v>73</c:v>
                </c:pt>
                <c:pt idx="3">
                  <c:v>117</c:v>
                </c:pt>
                <c:pt idx="4">
                  <c:v>109</c:v>
                </c:pt>
                <c:pt idx="5">
                  <c:v>95</c:v>
                </c:pt>
                <c:pt idx="6">
                  <c:v>134</c:v>
                </c:pt>
                <c:pt idx="7">
                  <c:v>92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Palm Drive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10</c:v>
                </c:pt>
                <c:pt idx="2">
                  <c:v>16</c:v>
                </c:pt>
                <c:pt idx="3">
                  <c:v>29</c:v>
                </c:pt>
                <c:pt idx="4">
                  <c:v>17</c:v>
                </c:pt>
                <c:pt idx="5">
                  <c:v>23</c:v>
                </c:pt>
                <c:pt idx="6">
                  <c:v>11</c:v>
                </c:pt>
                <c:pt idx="7">
                  <c:v>14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Briggs_Palm Dr_Intersection.xlsx]Graphs!pvtGraphExit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Briggs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68</c:v>
                </c:pt>
                <c:pt idx="2">
                  <c:v>75</c:v>
                </c:pt>
                <c:pt idx="3">
                  <c:v>124</c:v>
                </c:pt>
                <c:pt idx="4">
                  <c:v>112</c:v>
                </c:pt>
                <c:pt idx="5">
                  <c:v>103</c:v>
                </c:pt>
                <c:pt idx="6">
                  <c:v>135</c:v>
                </c:pt>
                <c:pt idx="7">
                  <c:v>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Briggs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187</c:v>
                </c:pt>
                <c:pt idx="1">
                  <c:v>173</c:v>
                </c:pt>
                <c:pt idx="2">
                  <c:v>215</c:v>
                </c:pt>
                <c:pt idx="3">
                  <c:v>194</c:v>
                </c:pt>
                <c:pt idx="4">
                  <c:v>208</c:v>
                </c:pt>
                <c:pt idx="5">
                  <c:v>201</c:v>
                </c:pt>
                <c:pt idx="6">
                  <c:v>225</c:v>
                </c:pt>
                <c:pt idx="7">
                  <c:v>178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Palm Drive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3</c:v>
                </c:pt>
                <c:pt idx="2">
                  <c:v>4</c:v>
                </c:pt>
                <c:pt idx="3">
                  <c:v>9</c:v>
                </c:pt>
                <c:pt idx="4">
                  <c:v>5</c:v>
                </c:pt>
                <c:pt idx="5">
                  <c:v>4</c:v>
                </c:pt>
                <c:pt idx="6">
                  <c:v>6</c:v>
                </c:pt>
                <c:pt idx="7">
                  <c:v>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Briggs_Palm Dr_Intersection.xlsx]GraphData!PivotTable2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260</c:v>
                </c:pt>
                <c:pt idx="1">
                  <c:v>244</c:v>
                </c:pt>
                <c:pt idx="2">
                  <c:v>294</c:v>
                </c:pt>
                <c:pt idx="3">
                  <c:v>327</c:v>
                </c:pt>
                <c:pt idx="4">
                  <c:v>325</c:v>
                </c:pt>
                <c:pt idx="5">
                  <c:v>308</c:v>
                </c:pt>
                <c:pt idx="6">
                  <c:v>366</c:v>
                </c:pt>
                <c:pt idx="7">
                  <c:v>280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Briggs_Palm Dr_Intersection.xlsx]PeakCalc!pvtPeak2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260</c:v>
                </c:pt>
                <c:pt idx="1">
                  <c:v>244</c:v>
                </c:pt>
                <c:pt idx="2">
                  <c:v>294</c:v>
                </c:pt>
                <c:pt idx="3">
                  <c:v>327</c:v>
                </c:pt>
                <c:pt idx="4">
                  <c:v>325</c:v>
                </c:pt>
                <c:pt idx="5">
                  <c:v>308</c:v>
                </c:pt>
                <c:pt idx="6">
                  <c:v>366</c:v>
                </c:pt>
                <c:pt idx="7">
                  <c:v>280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327</c:v>
                </c:pt>
                <c:pt idx="4">
                  <c:v>325</c:v>
                </c:pt>
                <c:pt idx="5">
                  <c:v>308</c:v>
                </c:pt>
                <c:pt idx="6">
                  <c:v>366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15</xdr:col>
      <xdr:colOff>102709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218017</xdr:colOff>
      <xdr:row>5</xdr:row>
      <xdr:rowOff>3175</xdr:rowOff>
    </xdr:from>
    <xdr:to>
      <xdr:col>22</xdr:col>
      <xdr:colOff>668917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819149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314324</xdr:colOff>
      <xdr:row>9</xdr:row>
      <xdr:rowOff>66673</xdr:rowOff>
    </xdr:from>
    <xdr:to>
      <xdr:col>21</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104550</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9103842592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9"/>
    </cacheField>
    <cacheField name="Peak" numFmtId="0">
      <sharedItems containsSemiMixedTypes="0" containsString="0" containsNumber="1" containsInteger="1" minValue="0" maxValue="3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91306828705" createdVersion="5" refreshedVersion="6" minRefreshableVersion="3" recordCount="360" xr:uid="{00000000-000A-0000-FFFF-FFFF01000000}">
  <cacheSource type="worksheet">
    <worksheetSource name="tblPivotData"/>
  </cacheSource>
  <cacheFields count="9">
    <cacheField name="Approach" numFmtId="0">
      <sharedItems count="6">
        <s v="Palm Drive"/>
        <s v="Briggs Road East"/>
        <s v="Briggs Road West"/>
        <s v="Great south Rd (North)" u="1"/>
        <s v="Great south Rd (South)" u="1"/>
        <s v="Grange Rd" u="1"/>
      </sharedItems>
    </cacheField>
    <cacheField name="Movement" numFmtId="0">
      <sharedItems count="14">
        <s v="Left into Briggs Road East"/>
        <s v="Right into Briggs Road West"/>
        <s v="Thru to Briggs Road West"/>
        <s v="Right into Palm Drive"/>
        <s v="Left into Palm Drive"/>
        <s v="Thru to Brigg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riggs Road East"/>
        <s v="Briggs Road West"/>
        <s v="Palm Drive"/>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0"/>
    <n v="0"/>
  </r>
  <r>
    <x v="0"/>
    <x v="1"/>
    <n v="244"/>
    <n v="0"/>
  </r>
  <r>
    <x v="0"/>
    <x v="2"/>
    <n v="294"/>
    <n v="0"/>
  </r>
  <r>
    <x v="0"/>
    <x v="3"/>
    <n v="327"/>
    <n v="327"/>
  </r>
  <r>
    <x v="0"/>
    <x v="4"/>
    <n v="325"/>
    <n v="325"/>
  </r>
  <r>
    <x v="0"/>
    <x v="5"/>
    <n v="308"/>
    <n v="308"/>
  </r>
  <r>
    <x v="0"/>
    <x v="6"/>
    <n v="366"/>
    <n v="366"/>
  </r>
  <r>
    <x v="0"/>
    <x v="7"/>
    <n v="280"/>
    <n v="0"/>
  </r>
  <r>
    <x v="1"/>
    <x v="8"/>
    <n v="221"/>
    <n v="221"/>
  </r>
  <r>
    <x v="1"/>
    <x v="9"/>
    <n v="250"/>
    <n v="250"/>
  </r>
  <r>
    <x v="1"/>
    <x v="10"/>
    <n v="245"/>
    <n v="245"/>
  </r>
  <r>
    <x v="1"/>
    <x v="11"/>
    <n v="240"/>
    <n v="240"/>
  </r>
  <r>
    <x v="2"/>
    <x v="12"/>
    <n v="326"/>
    <n v="0"/>
  </r>
  <r>
    <x v="2"/>
    <x v="13"/>
    <n v="337"/>
    <n v="0"/>
  </r>
  <r>
    <x v="2"/>
    <x v="14"/>
    <n v="379"/>
    <n v="379"/>
  </r>
  <r>
    <x v="2"/>
    <x v="15"/>
    <n v="359"/>
    <n v="359"/>
  </r>
  <r>
    <x v="2"/>
    <x v="16"/>
    <n v="370"/>
    <n v="370"/>
  </r>
  <r>
    <x v="2"/>
    <x v="17"/>
    <n v="341"/>
    <n v="341"/>
  </r>
  <r>
    <x v="2"/>
    <x v="18"/>
    <n v="333"/>
    <n v="0"/>
  </r>
  <r>
    <x v="2"/>
    <x v="19"/>
    <n v="29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
    <x v="0"/>
    <x v="0"/>
  </r>
  <r>
    <x v="0"/>
    <x v="0"/>
    <x v="0"/>
    <x v="0"/>
    <x v="0"/>
    <x v="1"/>
    <n v="3"/>
    <x v="1"/>
    <x v="0"/>
  </r>
  <r>
    <x v="0"/>
    <x v="0"/>
    <x v="0"/>
    <x v="0"/>
    <x v="0"/>
    <x v="2"/>
    <n v="3"/>
    <x v="2"/>
    <x v="0"/>
  </r>
  <r>
    <x v="0"/>
    <x v="0"/>
    <x v="0"/>
    <x v="0"/>
    <x v="0"/>
    <x v="3"/>
    <n v="13"/>
    <x v="3"/>
    <x v="1"/>
  </r>
  <r>
    <x v="0"/>
    <x v="0"/>
    <x v="0"/>
    <x v="0"/>
    <x v="0"/>
    <x v="4"/>
    <n v="5"/>
    <x v="4"/>
    <x v="1"/>
  </r>
  <r>
    <x v="0"/>
    <x v="0"/>
    <x v="0"/>
    <x v="0"/>
    <x v="0"/>
    <x v="5"/>
    <n v="9"/>
    <x v="5"/>
    <x v="1"/>
  </r>
  <r>
    <x v="0"/>
    <x v="0"/>
    <x v="0"/>
    <x v="0"/>
    <x v="0"/>
    <x v="6"/>
    <n v="5"/>
    <x v="6"/>
    <x v="1"/>
  </r>
  <r>
    <x v="0"/>
    <x v="0"/>
    <x v="0"/>
    <x v="0"/>
    <x v="0"/>
    <x v="7"/>
    <n v="7"/>
    <x v="7"/>
    <x v="0"/>
  </r>
  <r>
    <x v="0"/>
    <x v="0"/>
    <x v="0"/>
    <x v="0"/>
    <x v="1"/>
    <x v="8"/>
    <n v="3"/>
    <x v="8"/>
    <x v="1"/>
  </r>
  <r>
    <x v="0"/>
    <x v="0"/>
    <x v="0"/>
    <x v="0"/>
    <x v="1"/>
    <x v="9"/>
    <n v="3"/>
    <x v="9"/>
    <x v="1"/>
  </r>
  <r>
    <x v="0"/>
    <x v="0"/>
    <x v="0"/>
    <x v="0"/>
    <x v="1"/>
    <x v="10"/>
    <n v="4"/>
    <x v="10"/>
    <x v="1"/>
  </r>
  <r>
    <x v="0"/>
    <x v="0"/>
    <x v="0"/>
    <x v="0"/>
    <x v="1"/>
    <x v="11"/>
    <n v="7"/>
    <x v="11"/>
    <x v="1"/>
  </r>
  <r>
    <x v="0"/>
    <x v="0"/>
    <x v="0"/>
    <x v="0"/>
    <x v="2"/>
    <x v="12"/>
    <n v="4"/>
    <x v="12"/>
    <x v="0"/>
  </r>
  <r>
    <x v="0"/>
    <x v="0"/>
    <x v="0"/>
    <x v="0"/>
    <x v="2"/>
    <x v="13"/>
    <n v="3"/>
    <x v="13"/>
    <x v="0"/>
  </r>
  <r>
    <x v="0"/>
    <x v="0"/>
    <x v="0"/>
    <x v="0"/>
    <x v="2"/>
    <x v="14"/>
    <n v="7"/>
    <x v="14"/>
    <x v="1"/>
  </r>
  <r>
    <x v="0"/>
    <x v="0"/>
    <x v="0"/>
    <x v="0"/>
    <x v="2"/>
    <x v="15"/>
    <n v="2"/>
    <x v="15"/>
    <x v="1"/>
  </r>
  <r>
    <x v="0"/>
    <x v="0"/>
    <x v="0"/>
    <x v="0"/>
    <x v="2"/>
    <x v="16"/>
    <n v="11"/>
    <x v="16"/>
    <x v="1"/>
  </r>
  <r>
    <x v="0"/>
    <x v="0"/>
    <x v="0"/>
    <x v="0"/>
    <x v="2"/>
    <x v="17"/>
    <n v="11"/>
    <x v="17"/>
    <x v="1"/>
  </r>
  <r>
    <x v="0"/>
    <x v="0"/>
    <x v="0"/>
    <x v="0"/>
    <x v="2"/>
    <x v="18"/>
    <n v="5"/>
    <x v="18"/>
    <x v="0"/>
  </r>
  <r>
    <x v="0"/>
    <x v="0"/>
    <x v="0"/>
    <x v="0"/>
    <x v="2"/>
    <x v="19"/>
    <n v="5"/>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3"/>
    <x v="0"/>
    <x v="0"/>
  </r>
  <r>
    <x v="0"/>
    <x v="1"/>
    <x v="1"/>
    <x v="0"/>
    <x v="0"/>
    <x v="1"/>
    <n v="7"/>
    <x v="1"/>
    <x v="0"/>
  </r>
  <r>
    <x v="0"/>
    <x v="1"/>
    <x v="1"/>
    <x v="0"/>
    <x v="0"/>
    <x v="2"/>
    <n v="12"/>
    <x v="2"/>
    <x v="0"/>
  </r>
  <r>
    <x v="0"/>
    <x v="1"/>
    <x v="1"/>
    <x v="0"/>
    <x v="0"/>
    <x v="3"/>
    <n v="15"/>
    <x v="3"/>
    <x v="1"/>
  </r>
  <r>
    <x v="0"/>
    <x v="1"/>
    <x v="1"/>
    <x v="0"/>
    <x v="0"/>
    <x v="4"/>
    <n v="12"/>
    <x v="4"/>
    <x v="1"/>
  </r>
  <r>
    <x v="0"/>
    <x v="1"/>
    <x v="1"/>
    <x v="0"/>
    <x v="0"/>
    <x v="5"/>
    <n v="14"/>
    <x v="5"/>
    <x v="1"/>
  </r>
  <r>
    <x v="0"/>
    <x v="1"/>
    <x v="1"/>
    <x v="0"/>
    <x v="0"/>
    <x v="6"/>
    <n v="6"/>
    <x v="6"/>
    <x v="1"/>
  </r>
  <r>
    <x v="0"/>
    <x v="1"/>
    <x v="1"/>
    <x v="0"/>
    <x v="0"/>
    <x v="7"/>
    <n v="7"/>
    <x v="7"/>
    <x v="0"/>
  </r>
  <r>
    <x v="0"/>
    <x v="1"/>
    <x v="1"/>
    <x v="0"/>
    <x v="1"/>
    <x v="8"/>
    <n v="2"/>
    <x v="8"/>
    <x v="1"/>
  </r>
  <r>
    <x v="0"/>
    <x v="1"/>
    <x v="1"/>
    <x v="0"/>
    <x v="1"/>
    <x v="9"/>
    <n v="4"/>
    <x v="9"/>
    <x v="1"/>
  </r>
  <r>
    <x v="0"/>
    <x v="1"/>
    <x v="1"/>
    <x v="0"/>
    <x v="1"/>
    <x v="10"/>
    <n v="5"/>
    <x v="10"/>
    <x v="1"/>
  </r>
  <r>
    <x v="0"/>
    <x v="1"/>
    <x v="1"/>
    <x v="0"/>
    <x v="1"/>
    <x v="11"/>
    <n v="2"/>
    <x v="11"/>
    <x v="1"/>
  </r>
  <r>
    <x v="0"/>
    <x v="1"/>
    <x v="1"/>
    <x v="0"/>
    <x v="2"/>
    <x v="12"/>
    <n v="2"/>
    <x v="12"/>
    <x v="0"/>
  </r>
  <r>
    <x v="0"/>
    <x v="1"/>
    <x v="1"/>
    <x v="0"/>
    <x v="2"/>
    <x v="13"/>
    <n v="3"/>
    <x v="13"/>
    <x v="0"/>
  </r>
  <r>
    <x v="0"/>
    <x v="1"/>
    <x v="1"/>
    <x v="0"/>
    <x v="2"/>
    <x v="14"/>
    <n v="5"/>
    <x v="14"/>
    <x v="1"/>
  </r>
  <r>
    <x v="0"/>
    <x v="1"/>
    <x v="1"/>
    <x v="0"/>
    <x v="2"/>
    <x v="15"/>
    <n v="3"/>
    <x v="15"/>
    <x v="1"/>
  </r>
  <r>
    <x v="0"/>
    <x v="1"/>
    <x v="1"/>
    <x v="0"/>
    <x v="2"/>
    <x v="16"/>
    <n v="1"/>
    <x v="16"/>
    <x v="1"/>
  </r>
  <r>
    <x v="0"/>
    <x v="1"/>
    <x v="1"/>
    <x v="0"/>
    <x v="2"/>
    <x v="17"/>
    <n v="1"/>
    <x v="17"/>
    <x v="1"/>
  </r>
  <r>
    <x v="0"/>
    <x v="1"/>
    <x v="1"/>
    <x v="0"/>
    <x v="2"/>
    <x v="18"/>
    <n v="4"/>
    <x v="18"/>
    <x v="0"/>
  </r>
  <r>
    <x v="0"/>
    <x v="1"/>
    <x v="1"/>
    <x v="0"/>
    <x v="2"/>
    <x v="19"/>
    <n v="3"/>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0"/>
    <x v="1"/>
    <x v="0"/>
  </r>
  <r>
    <x v="0"/>
    <x v="1"/>
    <x v="1"/>
    <x v="2"/>
    <x v="0"/>
    <x v="2"/>
    <n v="1"/>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80"/>
    <x v="0"/>
    <x v="0"/>
  </r>
  <r>
    <x v="1"/>
    <x v="2"/>
    <x v="1"/>
    <x v="0"/>
    <x v="0"/>
    <x v="1"/>
    <n v="165"/>
    <x v="1"/>
    <x v="0"/>
  </r>
  <r>
    <x v="1"/>
    <x v="2"/>
    <x v="1"/>
    <x v="0"/>
    <x v="0"/>
    <x v="2"/>
    <n v="189"/>
    <x v="2"/>
    <x v="0"/>
  </r>
  <r>
    <x v="1"/>
    <x v="2"/>
    <x v="1"/>
    <x v="0"/>
    <x v="0"/>
    <x v="3"/>
    <n v="171"/>
    <x v="3"/>
    <x v="1"/>
  </r>
  <r>
    <x v="1"/>
    <x v="2"/>
    <x v="1"/>
    <x v="0"/>
    <x v="0"/>
    <x v="4"/>
    <n v="182"/>
    <x v="4"/>
    <x v="1"/>
  </r>
  <r>
    <x v="1"/>
    <x v="2"/>
    <x v="1"/>
    <x v="0"/>
    <x v="0"/>
    <x v="5"/>
    <n v="182"/>
    <x v="5"/>
    <x v="1"/>
  </r>
  <r>
    <x v="1"/>
    <x v="2"/>
    <x v="1"/>
    <x v="0"/>
    <x v="0"/>
    <x v="6"/>
    <n v="211"/>
    <x v="6"/>
    <x v="1"/>
  </r>
  <r>
    <x v="1"/>
    <x v="2"/>
    <x v="1"/>
    <x v="0"/>
    <x v="0"/>
    <x v="7"/>
    <n v="164"/>
    <x v="7"/>
    <x v="0"/>
  </r>
  <r>
    <x v="1"/>
    <x v="2"/>
    <x v="1"/>
    <x v="0"/>
    <x v="1"/>
    <x v="8"/>
    <n v="77"/>
    <x v="8"/>
    <x v="1"/>
  </r>
  <r>
    <x v="1"/>
    <x v="2"/>
    <x v="1"/>
    <x v="0"/>
    <x v="1"/>
    <x v="9"/>
    <n v="96"/>
    <x v="9"/>
    <x v="1"/>
  </r>
  <r>
    <x v="1"/>
    <x v="2"/>
    <x v="1"/>
    <x v="0"/>
    <x v="1"/>
    <x v="10"/>
    <n v="90"/>
    <x v="10"/>
    <x v="1"/>
  </r>
  <r>
    <x v="1"/>
    <x v="2"/>
    <x v="1"/>
    <x v="0"/>
    <x v="1"/>
    <x v="11"/>
    <n v="99"/>
    <x v="11"/>
    <x v="1"/>
  </r>
  <r>
    <x v="1"/>
    <x v="2"/>
    <x v="1"/>
    <x v="0"/>
    <x v="2"/>
    <x v="12"/>
    <n v="114"/>
    <x v="12"/>
    <x v="0"/>
  </r>
  <r>
    <x v="1"/>
    <x v="2"/>
    <x v="1"/>
    <x v="0"/>
    <x v="2"/>
    <x v="13"/>
    <n v="96"/>
    <x v="13"/>
    <x v="0"/>
  </r>
  <r>
    <x v="1"/>
    <x v="2"/>
    <x v="1"/>
    <x v="0"/>
    <x v="2"/>
    <x v="14"/>
    <n v="127"/>
    <x v="14"/>
    <x v="1"/>
  </r>
  <r>
    <x v="1"/>
    <x v="2"/>
    <x v="1"/>
    <x v="0"/>
    <x v="2"/>
    <x v="15"/>
    <n v="119"/>
    <x v="15"/>
    <x v="1"/>
  </r>
  <r>
    <x v="1"/>
    <x v="2"/>
    <x v="1"/>
    <x v="0"/>
    <x v="2"/>
    <x v="16"/>
    <n v="126"/>
    <x v="16"/>
    <x v="1"/>
  </r>
  <r>
    <x v="1"/>
    <x v="2"/>
    <x v="1"/>
    <x v="0"/>
    <x v="2"/>
    <x v="17"/>
    <n v="115"/>
    <x v="17"/>
    <x v="1"/>
  </r>
  <r>
    <x v="1"/>
    <x v="2"/>
    <x v="1"/>
    <x v="0"/>
    <x v="2"/>
    <x v="18"/>
    <n v="95"/>
    <x v="18"/>
    <x v="0"/>
  </r>
  <r>
    <x v="1"/>
    <x v="2"/>
    <x v="1"/>
    <x v="0"/>
    <x v="2"/>
    <x v="19"/>
    <n v="100"/>
    <x v="19"/>
    <x v="0"/>
  </r>
  <r>
    <x v="1"/>
    <x v="2"/>
    <x v="1"/>
    <x v="1"/>
    <x v="0"/>
    <x v="0"/>
    <n v="2"/>
    <x v="0"/>
    <x v="0"/>
  </r>
  <r>
    <x v="1"/>
    <x v="2"/>
    <x v="1"/>
    <x v="1"/>
    <x v="0"/>
    <x v="1"/>
    <n v="0"/>
    <x v="1"/>
    <x v="0"/>
  </r>
  <r>
    <x v="1"/>
    <x v="2"/>
    <x v="1"/>
    <x v="1"/>
    <x v="0"/>
    <x v="2"/>
    <n v="9"/>
    <x v="2"/>
    <x v="0"/>
  </r>
  <r>
    <x v="1"/>
    <x v="2"/>
    <x v="1"/>
    <x v="1"/>
    <x v="0"/>
    <x v="3"/>
    <n v="4"/>
    <x v="3"/>
    <x v="1"/>
  </r>
  <r>
    <x v="1"/>
    <x v="2"/>
    <x v="1"/>
    <x v="1"/>
    <x v="0"/>
    <x v="4"/>
    <n v="7"/>
    <x v="4"/>
    <x v="1"/>
  </r>
  <r>
    <x v="1"/>
    <x v="2"/>
    <x v="1"/>
    <x v="1"/>
    <x v="0"/>
    <x v="5"/>
    <n v="3"/>
    <x v="5"/>
    <x v="1"/>
  </r>
  <r>
    <x v="1"/>
    <x v="2"/>
    <x v="1"/>
    <x v="1"/>
    <x v="0"/>
    <x v="6"/>
    <n v="5"/>
    <x v="6"/>
    <x v="1"/>
  </r>
  <r>
    <x v="1"/>
    <x v="2"/>
    <x v="1"/>
    <x v="1"/>
    <x v="0"/>
    <x v="7"/>
    <n v="3"/>
    <x v="7"/>
    <x v="0"/>
  </r>
  <r>
    <x v="1"/>
    <x v="2"/>
    <x v="1"/>
    <x v="1"/>
    <x v="1"/>
    <x v="8"/>
    <n v="3"/>
    <x v="8"/>
    <x v="1"/>
  </r>
  <r>
    <x v="1"/>
    <x v="2"/>
    <x v="1"/>
    <x v="1"/>
    <x v="1"/>
    <x v="9"/>
    <n v="7"/>
    <x v="9"/>
    <x v="1"/>
  </r>
  <r>
    <x v="1"/>
    <x v="2"/>
    <x v="1"/>
    <x v="1"/>
    <x v="1"/>
    <x v="10"/>
    <n v="8"/>
    <x v="10"/>
    <x v="1"/>
  </r>
  <r>
    <x v="1"/>
    <x v="2"/>
    <x v="1"/>
    <x v="1"/>
    <x v="1"/>
    <x v="11"/>
    <n v="2"/>
    <x v="11"/>
    <x v="1"/>
  </r>
  <r>
    <x v="1"/>
    <x v="2"/>
    <x v="1"/>
    <x v="1"/>
    <x v="2"/>
    <x v="12"/>
    <n v="4"/>
    <x v="12"/>
    <x v="0"/>
  </r>
  <r>
    <x v="1"/>
    <x v="2"/>
    <x v="1"/>
    <x v="1"/>
    <x v="2"/>
    <x v="13"/>
    <n v="3"/>
    <x v="13"/>
    <x v="0"/>
  </r>
  <r>
    <x v="1"/>
    <x v="2"/>
    <x v="1"/>
    <x v="1"/>
    <x v="2"/>
    <x v="14"/>
    <n v="1"/>
    <x v="14"/>
    <x v="1"/>
  </r>
  <r>
    <x v="1"/>
    <x v="2"/>
    <x v="1"/>
    <x v="1"/>
    <x v="2"/>
    <x v="15"/>
    <n v="1"/>
    <x v="15"/>
    <x v="1"/>
  </r>
  <r>
    <x v="1"/>
    <x v="2"/>
    <x v="1"/>
    <x v="1"/>
    <x v="2"/>
    <x v="16"/>
    <n v="1"/>
    <x v="16"/>
    <x v="1"/>
  </r>
  <r>
    <x v="1"/>
    <x v="2"/>
    <x v="1"/>
    <x v="1"/>
    <x v="2"/>
    <x v="17"/>
    <n v="1"/>
    <x v="17"/>
    <x v="1"/>
  </r>
  <r>
    <x v="1"/>
    <x v="2"/>
    <x v="1"/>
    <x v="1"/>
    <x v="2"/>
    <x v="18"/>
    <n v="3"/>
    <x v="18"/>
    <x v="0"/>
  </r>
  <r>
    <x v="1"/>
    <x v="2"/>
    <x v="1"/>
    <x v="1"/>
    <x v="2"/>
    <x v="19"/>
    <n v="1"/>
    <x v="19"/>
    <x v="0"/>
  </r>
  <r>
    <x v="1"/>
    <x v="2"/>
    <x v="1"/>
    <x v="2"/>
    <x v="0"/>
    <x v="0"/>
    <n v="1"/>
    <x v="0"/>
    <x v="0"/>
  </r>
  <r>
    <x v="1"/>
    <x v="2"/>
    <x v="1"/>
    <x v="2"/>
    <x v="0"/>
    <x v="1"/>
    <n v="1"/>
    <x v="1"/>
    <x v="0"/>
  </r>
  <r>
    <x v="1"/>
    <x v="2"/>
    <x v="1"/>
    <x v="2"/>
    <x v="0"/>
    <x v="2"/>
    <n v="4"/>
    <x v="2"/>
    <x v="0"/>
  </r>
  <r>
    <x v="1"/>
    <x v="2"/>
    <x v="1"/>
    <x v="2"/>
    <x v="0"/>
    <x v="3"/>
    <n v="4"/>
    <x v="3"/>
    <x v="1"/>
  </r>
  <r>
    <x v="1"/>
    <x v="2"/>
    <x v="1"/>
    <x v="2"/>
    <x v="0"/>
    <x v="4"/>
    <n v="7"/>
    <x v="4"/>
    <x v="1"/>
  </r>
  <r>
    <x v="1"/>
    <x v="2"/>
    <x v="1"/>
    <x v="2"/>
    <x v="0"/>
    <x v="5"/>
    <n v="2"/>
    <x v="5"/>
    <x v="1"/>
  </r>
  <r>
    <x v="1"/>
    <x v="2"/>
    <x v="1"/>
    <x v="2"/>
    <x v="0"/>
    <x v="6"/>
    <n v="3"/>
    <x v="6"/>
    <x v="1"/>
  </r>
  <r>
    <x v="1"/>
    <x v="2"/>
    <x v="1"/>
    <x v="2"/>
    <x v="0"/>
    <x v="7"/>
    <n v="4"/>
    <x v="7"/>
    <x v="0"/>
  </r>
  <r>
    <x v="1"/>
    <x v="2"/>
    <x v="1"/>
    <x v="2"/>
    <x v="1"/>
    <x v="8"/>
    <n v="0"/>
    <x v="8"/>
    <x v="1"/>
  </r>
  <r>
    <x v="1"/>
    <x v="2"/>
    <x v="1"/>
    <x v="2"/>
    <x v="1"/>
    <x v="9"/>
    <n v="0"/>
    <x v="9"/>
    <x v="1"/>
  </r>
  <r>
    <x v="1"/>
    <x v="2"/>
    <x v="1"/>
    <x v="2"/>
    <x v="1"/>
    <x v="10"/>
    <n v="0"/>
    <x v="10"/>
    <x v="1"/>
  </r>
  <r>
    <x v="1"/>
    <x v="2"/>
    <x v="1"/>
    <x v="2"/>
    <x v="1"/>
    <x v="11"/>
    <n v="1"/>
    <x v="11"/>
    <x v="1"/>
  </r>
  <r>
    <x v="1"/>
    <x v="2"/>
    <x v="1"/>
    <x v="2"/>
    <x v="2"/>
    <x v="12"/>
    <n v="1"/>
    <x v="12"/>
    <x v="0"/>
  </r>
  <r>
    <x v="1"/>
    <x v="2"/>
    <x v="1"/>
    <x v="2"/>
    <x v="2"/>
    <x v="13"/>
    <n v="1"/>
    <x v="13"/>
    <x v="0"/>
  </r>
  <r>
    <x v="1"/>
    <x v="2"/>
    <x v="1"/>
    <x v="2"/>
    <x v="2"/>
    <x v="14"/>
    <n v="1"/>
    <x v="14"/>
    <x v="1"/>
  </r>
  <r>
    <x v="1"/>
    <x v="2"/>
    <x v="1"/>
    <x v="2"/>
    <x v="2"/>
    <x v="15"/>
    <n v="0"/>
    <x v="15"/>
    <x v="1"/>
  </r>
  <r>
    <x v="1"/>
    <x v="2"/>
    <x v="1"/>
    <x v="2"/>
    <x v="2"/>
    <x v="16"/>
    <n v="0"/>
    <x v="16"/>
    <x v="1"/>
  </r>
  <r>
    <x v="1"/>
    <x v="2"/>
    <x v="1"/>
    <x v="2"/>
    <x v="2"/>
    <x v="17"/>
    <n v="0"/>
    <x v="17"/>
    <x v="1"/>
  </r>
  <r>
    <x v="1"/>
    <x v="2"/>
    <x v="1"/>
    <x v="2"/>
    <x v="2"/>
    <x v="18"/>
    <n v="0"/>
    <x v="18"/>
    <x v="0"/>
  </r>
  <r>
    <x v="1"/>
    <x v="2"/>
    <x v="1"/>
    <x v="2"/>
    <x v="2"/>
    <x v="19"/>
    <n v="3"/>
    <x v="19"/>
    <x v="0"/>
  </r>
  <r>
    <x v="1"/>
    <x v="3"/>
    <x v="2"/>
    <x v="0"/>
    <x v="0"/>
    <x v="0"/>
    <n v="4"/>
    <x v="0"/>
    <x v="0"/>
  </r>
  <r>
    <x v="1"/>
    <x v="3"/>
    <x v="2"/>
    <x v="0"/>
    <x v="0"/>
    <x v="1"/>
    <n v="1"/>
    <x v="1"/>
    <x v="0"/>
  </r>
  <r>
    <x v="1"/>
    <x v="3"/>
    <x v="2"/>
    <x v="0"/>
    <x v="0"/>
    <x v="2"/>
    <n v="3"/>
    <x v="2"/>
    <x v="0"/>
  </r>
  <r>
    <x v="1"/>
    <x v="3"/>
    <x v="2"/>
    <x v="0"/>
    <x v="0"/>
    <x v="3"/>
    <n v="1"/>
    <x v="3"/>
    <x v="1"/>
  </r>
  <r>
    <x v="1"/>
    <x v="3"/>
    <x v="2"/>
    <x v="0"/>
    <x v="0"/>
    <x v="4"/>
    <n v="3"/>
    <x v="4"/>
    <x v="1"/>
  </r>
  <r>
    <x v="1"/>
    <x v="3"/>
    <x v="2"/>
    <x v="0"/>
    <x v="0"/>
    <x v="5"/>
    <n v="3"/>
    <x v="5"/>
    <x v="1"/>
  </r>
  <r>
    <x v="1"/>
    <x v="3"/>
    <x v="2"/>
    <x v="0"/>
    <x v="0"/>
    <x v="6"/>
    <n v="1"/>
    <x v="6"/>
    <x v="1"/>
  </r>
  <r>
    <x v="1"/>
    <x v="3"/>
    <x v="2"/>
    <x v="0"/>
    <x v="0"/>
    <x v="7"/>
    <n v="3"/>
    <x v="7"/>
    <x v="0"/>
  </r>
  <r>
    <x v="1"/>
    <x v="3"/>
    <x v="2"/>
    <x v="0"/>
    <x v="1"/>
    <x v="8"/>
    <n v="10"/>
    <x v="8"/>
    <x v="1"/>
  </r>
  <r>
    <x v="1"/>
    <x v="3"/>
    <x v="2"/>
    <x v="0"/>
    <x v="1"/>
    <x v="9"/>
    <n v="2"/>
    <x v="9"/>
    <x v="1"/>
  </r>
  <r>
    <x v="1"/>
    <x v="3"/>
    <x v="2"/>
    <x v="0"/>
    <x v="1"/>
    <x v="10"/>
    <n v="6"/>
    <x v="10"/>
    <x v="1"/>
  </r>
  <r>
    <x v="1"/>
    <x v="3"/>
    <x v="2"/>
    <x v="0"/>
    <x v="1"/>
    <x v="11"/>
    <n v="2"/>
    <x v="11"/>
    <x v="1"/>
  </r>
  <r>
    <x v="1"/>
    <x v="3"/>
    <x v="2"/>
    <x v="0"/>
    <x v="2"/>
    <x v="12"/>
    <n v="2"/>
    <x v="12"/>
    <x v="0"/>
  </r>
  <r>
    <x v="1"/>
    <x v="3"/>
    <x v="2"/>
    <x v="0"/>
    <x v="2"/>
    <x v="13"/>
    <n v="5"/>
    <x v="13"/>
    <x v="0"/>
  </r>
  <r>
    <x v="1"/>
    <x v="3"/>
    <x v="2"/>
    <x v="0"/>
    <x v="2"/>
    <x v="14"/>
    <n v="10"/>
    <x v="14"/>
    <x v="1"/>
  </r>
  <r>
    <x v="1"/>
    <x v="3"/>
    <x v="2"/>
    <x v="0"/>
    <x v="2"/>
    <x v="15"/>
    <n v="7"/>
    <x v="15"/>
    <x v="1"/>
  </r>
  <r>
    <x v="1"/>
    <x v="3"/>
    <x v="2"/>
    <x v="0"/>
    <x v="2"/>
    <x v="16"/>
    <n v="17"/>
    <x v="16"/>
    <x v="1"/>
  </r>
  <r>
    <x v="1"/>
    <x v="3"/>
    <x v="2"/>
    <x v="0"/>
    <x v="2"/>
    <x v="17"/>
    <n v="16"/>
    <x v="17"/>
    <x v="1"/>
  </r>
  <r>
    <x v="1"/>
    <x v="3"/>
    <x v="2"/>
    <x v="0"/>
    <x v="2"/>
    <x v="18"/>
    <n v="9"/>
    <x v="18"/>
    <x v="0"/>
  </r>
  <r>
    <x v="1"/>
    <x v="3"/>
    <x v="2"/>
    <x v="0"/>
    <x v="2"/>
    <x v="19"/>
    <n v="10"/>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1"/>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1"/>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1"/>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2"/>
    <x v="0"/>
    <x v="0"/>
  </r>
  <r>
    <x v="2"/>
    <x v="4"/>
    <x v="2"/>
    <x v="0"/>
    <x v="0"/>
    <x v="1"/>
    <n v="2"/>
    <x v="1"/>
    <x v="0"/>
  </r>
  <r>
    <x v="2"/>
    <x v="4"/>
    <x v="2"/>
    <x v="0"/>
    <x v="0"/>
    <x v="2"/>
    <n v="1"/>
    <x v="2"/>
    <x v="0"/>
  </r>
  <r>
    <x v="2"/>
    <x v="4"/>
    <x v="2"/>
    <x v="0"/>
    <x v="0"/>
    <x v="3"/>
    <n v="6"/>
    <x v="3"/>
    <x v="1"/>
  </r>
  <r>
    <x v="2"/>
    <x v="4"/>
    <x v="2"/>
    <x v="0"/>
    <x v="0"/>
    <x v="4"/>
    <n v="2"/>
    <x v="4"/>
    <x v="1"/>
  </r>
  <r>
    <x v="2"/>
    <x v="4"/>
    <x v="2"/>
    <x v="0"/>
    <x v="0"/>
    <x v="5"/>
    <n v="1"/>
    <x v="5"/>
    <x v="1"/>
  </r>
  <r>
    <x v="2"/>
    <x v="4"/>
    <x v="2"/>
    <x v="0"/>
    <x v="0"/>
    <x v="6"/>
    <n v="4"/>
    <x v="6"/>
    <x v="1"/>
  </r>
  <r>
    <x v="2"/>
    <x v="4"/>
    <x v="2"/>
    <x v="0"/>
    <x v="0"/>
    <x v="7"/>
    <n v="1"/>
    <x v="7"/>
    <x v="0"/>
  </r>
  <r>
    <x v="2"/>
    <x v="4"/>
    <x v="2"/>
    <x v="0"/>
    <x v="1"/>
    <x v="8"/>
    <n v="3"/>
    <x v="8"/>
    <x v="1"/>
  </r>
  <r>
    <x v="2"/>
    <x v="4"/>
    <x v="2"/>
    <x v="0"/>
    <x v="1"/>
    <x v="9"/>
    <n v="2"/>
    <x v="9"/>
    <x v="1"/>
  </r>
  <r>
    <x v="2"/>
    <x v="4"/>
    <x v="2"/>
    <x v="0"/>
    <x v="1"/>
    <x v="10"/>
    <n v="6"/>
    <x v="10"/>
    <x v="1"/>
  </r>
  <r>
    <x v="2"/>
    <x v="4"/>
    <x v="2"/>
    <x v="0"/>
    <x v="1"/>
    <x v="11"/>
    <n v="4"/>
    <x v="11"/>
    <x v="1"/>
  </r>
  <r>
    <x v="2"/>
    <x v="4"/>
    <x v="2"/>
    <x v="0"/>
    <x v="2"/>
    <x v="12"/>
    <n v="3"/>
    <x v="12"/>
    <x v="0"/>
  </r>
  <r>
    <x v="2"/>
    <x v="4"/>
    <x v="2"/>
    <x v="0"/>
    <x v="2"/>
    <x v="13"/>
    <n v="8"/>
    <x v="13"/>
    <x v="0"/>
  </r>
  <r>
    <x v="2"/>
    <x v="4"/>
    <x v="2"/>
    <x v="0"/>
    <x v="2"/>
    <x v="14"/>
    <n v="5"/>
    <x v="14"/>
    <x v="1"/>
  </r>
  <r>
    <x v="2"/>
    <x v="4"/>
    <x v="2"/>
    <x v="0"/>
    <x v="2"/>
    <x v="15"/>
    <n v="9"/>
    <x v="15"/>
    <x v="1"/>
  </r>
  <r>
    <x v="2"/>
    <x v="4"/>
    <x v="2"/>
    <x v="0"/>
    <x v="2"/>
    <x v="16"/>
    <n v="6"/>
    <x v="16"/>
    <x v="1"/>
  </r>
  <r>
    <x v="2"/>
    <x v="4"/>
    <x v="2"/>
    <x v="0"/>
    <x v="2"/>
    <x v="17"/>
    <n v="6"/>
    <x v="17"/>
    <x v="1"/>
  </r>
  <r>
    <x v="2"/>
    <x v="4"/>
    <x v="2"/>
    <x v="0"/>
    <x v="2"/>
    <x v="18"/>
    <n v="4"/>
    <x v="18"/>
    <x v="0"/>
  </r>
  <r>
    <x v="2"/>
    <x v="4"/>
    <x v="2"/>
    <x v="0"/>
    <x v="2"/>
    <x v="19"/>
    <n v="4"/>
    <x v="19"/>
    <x v="0"/>
  </r>
  <r>
    <x v="2"/>
    <x v="4"/>
    <x v="2"/>
    <x v="1"/>
    <x v="0"/>
    <x v="0"/>
    <n v="0"/>
    <x v="0"/>
    <x v="0"/>
  </r>
  <r>
    <x v="2"/>
    <x v="4"/>
    <x v="2"/>
    <x v="1"/>
    <x v="0"/>
    <x v="1"/>
    <n v="0"/>
    <x v="1"/>
    <x v="0"/>
  </r>
  <r>
    <x v="2"/>
    <x v="4"/>
    <x v="2"/>
    <x v="1"/>
    <x v="0"/>
    <x v="2"/>
    <n v="0"/>
    <x v="2"/>
    <x v="0"/>
  </r>
  <r>
    <x v="2"/>
    <x v="4"/>
    <x v="2"/>
    <x v="1"/>
    <x v="0"/>
    <x v="3"/>
    <n v="1"/>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60"/>
    <x v="0"/>
    <x v="0"/>
  </r>
  <r>
    <x v="2"/>
    <x v="5"/>
    <x v="0"/>
    <x v="0"/>
    <x v="0"/>
    <x v="1"/>
    <n v="60"/>
    <x v="1"/>
    <x v="0"/>
  </r>
  <r>
    <x v="2"/>
    <x v="5"/>
    <x v="0"/>
    <x v="0"/>
    <x v="0"/>
    <x v="2"/>
    <n v="64"/>
    <x v="2"/>
    <x v="0"/>
  </r>
  <r>
    <x v="2"/>
    <x v="5"/>
    <x v="0"/>
    <x v="0"/>
    <x v="0"/>
    <x v="3"/>
    <n v="105"/>
    <x v="3"/>
    <x v="1"/>
  </r>
  <r>
    <x v="2"/>
    <x v="5"/>
    <x v="0"/>
    <x v="0"/>
    <x v="0"/>
    <x v="4"/>
    <n v="99"/>
    <x v="4"/>
    <x v="1"/>
  </r>
  <r>
    <x v="2"/>
    <x v="5"/>
    <x v="0"/>
    <x v="0"/>
    <x v="0"/>
    <x v="5"/>
    <n v="90"/>
    <x v="5"/>
    <x v="1"/>
  </r>
  <r>
    <x v="2"/>
    <x v="5"/>
    <x v="0"/>
    <x v="0"/>
    <x v="0"/>
    <x v="6"/>
    <n v="128"/>
    <x v="6"/>
    <x v="1"/>
  </r>
  <r>
    <x v="2"/>
    <x v="5"/>
    <x v="0"/>
    <x v="0"/>
    <x v="0"/>
    <x v="7"/>
    <n v="89"/>
    <x v="7"/>
    <x v="0"/>
  </r>
  <r>
    <x v="2"/>
    <x v="5"/>
    <x v="0"/>
    <x v="0"/>
    <x v="1"/>
    <x v="8"/>
    <n v="121"/>
    <x v="8"/>
    <x v="1"/>
  </r>
  <r>
    <x v="2"/>
    <x v="5"/>
    <x v="0"/>
    <x v="0"/>
    <x v="1"/>
    <x v="9"/>
    <n v="131"/>
    <x v="9"/>
    <x v="1"/>
  </r>
  <r>
    <x v="2"/>
    <x v="5"/>
    <x v="0"/>
    <x v="0"/>
    <x v="1"/>
    <x v="10"/>
    <n v="122"/>
    <x v="10"/>
    <x v="1"/>
  </r>
  <r>
    <x v="2"/>
    <x v="5"/>
    <x v="0"/>
    <x v="0"/>
    <x v="1"/>
    <x v="11"/>
    <n v="118"/>
    <x v="11"/>
    <x v="1"/>
  </r>
  <r>
    <x v="2"/>
    <x v="5"/>
    <x v="0"/>
    <x v="0"/>
    <x v="2"/>
    <x v="12"/>
    <n v="191"/>
    <x v="12"/>
    <x v="0"/>
  </r>
  <r>
    <x v="2"/>
    <x v="5"/>
    <x v="0"/>
    <x v="0"/>
    <x v="2"/>
    <x v="13"/>
    <n v="208"/>
    <x v="13"/>
    <x v="0"/>
  </r>
  <r>
    <x v="2"/>
    <x v="5"/>
    <x v="0"/>
    <x v="0"/>
    <x v="2"/>
    <x v="14"/>
    <n v="218"/>
    <x v="14"/>
    <x v="1"/>
  </r>
  <r>
    <x v="2"/>
    <x v="5"/>
    <x v="0"/>
    <x v="0"/>
    <x v="2"/>
    <x v="15"/>
    <n v="209"/>
    <x v="15"/>
    <x v="1"/>
  </r>
  <r>
    <x v="2"/>
    <x v="5"/>
    <x v="0"/>
    <x v="0"/>
    <x v="2"/>
    <x v="16"/>
    <n v="199"/>
    <x v="16"/>
    <x v="1"/>
  </r>
  <r>
    <x v="2"/>
    <x v="5"/>
    <x v="0"/>
    <x v="0"/>
    <x v="2"/>
    <x v="17"/>
    <n v="184"/>
    <x v="17"/>
    <x v="1"/>
  </r>
  <r>
    <x v="2"/>
    <x v="5"/>
    <x v="0"/>
    <x v="0"/>
    <x v="2"/>
    <x v="18"/>
    <n v="203"/>
    <x v="18"/>
    <x v="0"/>
  </r>
  <r>
    <x v="2"/>
    <x v="5"/>
    <x v="0"/>
    <x v="0"/>
    <x v="2"/>
    <x v="19"/>
    <n v="164"/>
    <x v="19"/>
    <x v="0"/>
  </r>
  <r>
    <x v="2"/>
    <x v="5"/>
    <x v="0"/>
    <x v="1"/>
    <x v="0"/>
    <x v="0"/>
    <n v="1"/>
    <x v="0"/>
    <x v="0"/>
  </r>
  <r>
    <x v="2"/>
    <x v="5"/>
    <x v="0"/>
    <x v="1"/>
    <x v="0"/>
    <x v="1"/>
    <n v="4"/>
    <x v="1"/>
    <x v="0"/>
  </r>
  <r>
    <x v="2"/>
    <x v="5"/>
    <x v="0"/>
    <x v="1"/>
    <x v="0"/>
    <x v="2"/>
    <n v="8"/>
    <x v="2"/>
    <x v="0"/>
  </r>
  <r>
    <x v="2"/>
    <x v="5"/>
    <x v="0"/>
    <x v="1"/>
    <x v="0"/>
    <x v="3"/>
    <n v="4"/>
    <x v="3"/>
    <x v="1"/>
  </r>
  <r>
    <x v="2"/>
    <x v="5"/>
    <x v="0"/>
    <x v="1"/>
    <x v="0"/>
    <x v="4"/>
    <n v="3"/>
    <x v="4"/>
    <x v="1"/>
  </r>
  <r>
    <x v="2"/>
    <x v="5"/>
    <x v="0"/>
    <x v="1"/>
    <x v="0"/>
    <x v="5"/>
    <n v="3"/>
    <x v="5"/>
    <x v="1"/>
  </r>
  <r>
    <x v="2"/>
    <x v="5"/>
    <x v="0"/>
    <x v="1"/>
    <x v="0"/>
    <x v="6"/>
    <n v="2"/>
    <x v="6"/>
    <x v="1"/>
  </r>
  <r>
    <x v="2"/>
    <x v="5"/>
    <x v="0"/>
    <x v="1"/>
    <x v="0"/>
    <x v="7"/>
    <n v="2"/>
    <x v="7"/>
    <x v="0"/>
  </r>
  <r>
    <x v="2"/>
    <x v="5"/>
    <x v="0"/>
    <x v="1"/>
    <x v="1"/>
    <x v="8"/>
    <n v="2"/>
    <x v="8"/>
    <x v="1"/>
  </r>
  <r>
    <x v="2"/>
    <x v="5"/>
    <x v="0"/>
    <x v="1"/>
    <x v="1"/>
    <x v="9"/>
    <n v="5"/>
    <x v="9"/>
    <x v="1"/>
  </r>
  <r>
    <x v="2"/>
    <x v="5"/>
    <x v="0"/>
    <x v="1"/>
    <x v="1"/>
    <x v="10"/>
    <n v="4"/>
    <x v="10"/>
    <x v="1"/>
  </r>
  <r>
    <x v="2"/>
    <x v="5"/>
    <x v="0"/>
    <x v="1"/>
    <x v="1"/>
    <x v="11"/>
    <n v="3"/>
    <x v="11"/>
    <x v="1"/>
  </r>
  <r>
    <x v="2"/>
    <x v="5"/>
    <x v="0"/>
    <x v="1"/>
    <x v="2"/>
    <x v="12"/>
    <n v="2"/>
    <x v="12"/>
    <x v="0"/>
  </r>
  <r>
    <x v="2"/>
    <x v="5"/>
    <x v="0"/>
    <x v="1"/>
    <x v="2"/>
    <x v="13"/>
    <n v="5"/>
    <x v="13"/>
    <x v="0"/>
  </r>
  <r>
    <x v="2"/>
    <x v="5"/>
    <x v="0"/>
    <x v="1"/>
    <x v="2"/>
    <x v="14"/>
    <n v="4"/>
    <x v="14"/>
    <x v="1"/>
  </r>
  <r>
    <x v="2"/>
    <x v="5"/>
    <x v="0"/>
    <x v="1"/>
    <x v="2"/>
    <x v="15"/>
    <n v="1"/>
    <x v="15"/>
    <x v="1"/>
  </r>
  <r>
    <x v="2"/>
    <x v="5"/>
    <x v="0"/>
    <x v="1"/>
    <x v="2"/>
    <x v="16"/>
    <n v="3"/>
    <x v="16"/>
    <x v="1"/>
  </r>
  <r>
    <x v="2"/>
    <x v="5"/>
    <x v="0"/>
    <x v="1"/>
    <x v="2"/>
    <x v="17"/>
    <n v="1"/>
    <x v="17"/>
    <x v="1"/>
  </r>
  <r>
    <x v="2"/>
    <x v="5"/>
    <x v="0"/>
    <x v="1"/>
    <x v="2"/>
    <x v="18"/>
    <n v="3"/>
    <x v="18"/>
    <x v="0"/>
  </r>
  <r>
    <x v="2"/>
    <x v="5"/>
    <x v="0"/>
    <x v="1"/>
    <x v="2"/>
    <x v="19"/>
    <n v="1"/>
    <x v="19"/>
    <x v="0"/>
  </r>
  <r>
    <x v="2"/>
    <x v="5"/>
    <x v="0"/>
    <x v="2"/>
    <x v="0"/>
    <x v="0"/>
    <n v="0"/>
    <x v="0"/>
    <x v="0"/>
  </r>
  <r>
    <x v="2"/>
    <x v="5"/>
    <x v="0"/>
    <x v="2"/>
    <x v="0"/>
    <x v="1"/>
    <n v="1"/>
    <x v="1"/>
    <x v="0"/>
  </r>
  <r>
    <x v="2"/>
    <x v="5"/>
    <x v="0"/>
    <x v="2"/>
    <x v="0"/>
    <x v="2"/>
    <n v="0"/>
    <x v="2"/>
    <x v="0"/>
  </r>
  <r>
    <x v="2"/>
    <x v="5"/>
    <x v="0"/>
    <x v="2"/>
    <x v="0"/>
    <x v="3"/>
    <n v="1"/>
    <x v="3"/>
    <x v="1"/>
  </r>
  <r>
    <x v="2"/>
    <x v="5"/>
    <x v="0"/>
    <x v="2"/>
    <x v="0"/>
    <x v="4"/>
    <n v="5"/>
    <x v="4"/>
    <x v="1"/>
  </r>
  <r>
    <x v="2"/>
    <x v="5"/>
    <x v="0"/>
    <x v="2"/>
    <x v="0"/>
    <x v="5"/>
    <n v="1"/>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2"/>
    <x v="11"/>
    <x v="1"/>
  </r>
  <r>
    <x v="2"/>
    <x v="5"/>
    <x v="0"/>
    <x v="2"/>
    <x v="2"/>
    <x v="12"/>
    <n v="3"/>
    <x v="12"/>
    <x v="0"/>
  </r>
  <r>
    <x v="2"/>
    <x v="5"/>
    <x v="0"/>
    <x v="2"/>
    <x v="2"/>
    <x v="13"/>
    <n v="4"/>
    <x v="13"/>
    <x v="0"/>
  </r>
  <r>
    <x v="2"/>
    <x v="5"/>
    <x v="0"/>
    <x v="2"/>
    <x v="2"/>
    <x v="14"/>
    <n v="1"/>
    <x v="14"/>
    <x v="1"/>
  </r>
  <r>
    <x v="2"/>
    <x v="5"/>
    <x v="0"/>
    <x v="2"/>
    <x v="2"/>
    <x v="15"/>
    <n v="7"/>
    <x v="15"/>
    <x v="1"/>
  </r>
  <r>
    <x v="2"/>
    <x v="5"/>
    <x v="0"/>
    <x v="2"/>
    <x v="2"/>
    <x v="16"/>
    <n v="6"/>
    <x v="16"/>
    <x v="1"/>
  </r>
  <r>
    <x v="2"/>
    <x v="5"/>
    <x v="0"/>
    <x v="2"/>
    <x v="2"/>
    <x v="17"/>
    <n v="6"/>
    <x v="17"/>
    <x v="1"/>
  </r>
  <r>
    <x v="2"/>
    <x v="5"/>
    <x v="0"/>
    <x v="2"/>
    <x v="2"/>
    <x v="18"/>
    <n v="7"/>
    <x v="18"/>
    <x v="0"/>
  </r>
  <r>
    <x v="2"/>
    <x v="5"/>
    <x v="0"/>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3"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3"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3"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3"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3"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3"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2" sqref="F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44250</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Palm Drive</v>
      </c>
      <c r="C4" s="1" t="str">
        <f>Input!C31</f>
        <v>Briggs Road East</v>
      </c>
      <c r="D4" s="1" t="str">
        <f>Input!C42</f>
        <v>Briggs Road West</v>
      </c>
      <c r="E4" s="1">
        <f>Input!C53</f>
        <v>0</v>
      </c>
      <c r="F4" s="1">
        <f>Input!C64</f>
        <v>0</v>
      </c>
      <c r="G4" s="1">
        <f>Input!C75</f>
        <v>0</v>
      </c>
      <c r="H4" s="1">
        <f>Input!C86</f>
        <v>0</v>
      </c>
    </row>
    <row r="6" spans="2:8" x14ac:dyDescent="0.25">
      <c r="B6" t="s">
        <v>18</v>
      </c>
    </row>
    <row r="8" spans="2:8" x14ac:dyDescent="0.25">
      <c r="B8" s="1" t="str">
        <f>Input!C22</f>
        <v>Left into Briggs Road East</v>
      </c>
      <c r="C8" s="1" t="str">
        <f>Input!C33</f>
        <v>Thru to Briggs Road West</v>
      </c>
      <c r="D8" s="1" t="str">
        <f>Input!C44</f>
        <v>Left into Palm Drive</v>
      </c>
      <c r="E8" s="1">
        <f>Input!C55</f>
        <v>0</v>
      </c>
      <c r="F8" s="1">
        <f>Input!C66</f>
        <v>0</v>
      </c>
      <c r="G8" s="1">
        <f>Input!C77</f>
        <v>0</v>
      </c>
      <c r="H8" s="1">
        <f>Input!C88</f>
        <v>0</v>
      </c>
    </row>
    <row r="9" spans="2:8" x14ac:dyDescent="0.25">
      <c r="B9" s="1" t="str">
        <f>Input!C23</f>
        <v>Right into Briggs Road West</v>
      </c>
      <c r="C9" s="1" t="str">
        <f>Input!C34</f>
        <v>Right into Palm Drive</v>
      </c>
      <c r="D9" s="1" t="str">
        <f>Input!C45</f>
        <v>Thru to Briggs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Briggs Road East</v>
      </c>
      <c r="C18" s="1" t="str">
        <f>Input!E33</f>
        <v>Briggs Road West</v>
      </c>
      <c r="D18" s="1" t="str">
        <f>Input!E44</f>
        <v>Palm Drive</v>
      </c>
      <c r="E18" s="1">
        <f>Input!E55</f>
        <v>0</v>
      </c>
      <c r="F18" s="1">
        <f>Input!E66</f>
        <v>0</v>
      </c>
      <c r="G18" s="1">
        <f>Input!E77</f>
        <v>0</v>
      </c>
      <c r="H18" s="1">
        <f>Input!E88</f>
        <v>0</v>
      </c>
    </row>
    <row r="19" spans="2:8" x14ac:dyDescent="0.25">
      <c r="B19" s="1" t="str">
        <f>Input!E23</f>
        <v>Briggs Road West</v>
      </c>
      <c r="C19" s="1" t="str">
        <f>Input!E34</f>
        <v>Palm Drive</v>
      </c>
      <c r="D19" s="1" t="str">
        <f>Input!E45</f>
        <v>Briggs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F3" sqref="F3"/>
    </sheetView>
  </sheetViews>
  <sheetFormatPr defaultRowHeight="15" x14ac:dyDescent="0.25"/>
  <cols>
    <col min="1" max="1" width="13.7109375" customWidth="1"/>
    <col min="2" max="2" width="7.5703125" customWidth="1"/>
  </cols>
  <sheetData>
    <row r="1" spans="1:20" x14ac:dyDescent="0.25">
      <c r="A1" s="2" t="s">
        <v>112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6</v>
      </c>
      <c r="D8">
        <v>0</v>
      </c>
      <c r="E8">
        <v>0</v>
      </c>
      <c r="F8" s="28">
        <v>3</v>
      </c>
      <c r="G8">
        <v>0</v>
      </c>
      <c r="H8">
        <v>1</v>
      </c>
      <c r="I8" s="31">
        <v>180</v>
      </c>
      <c r="J8">
        <v>2</v>
      </c>
      <c r="K8">
        <v>1</v>
      </c>
      <c r="L8" s="28">
        <v>4</v>
      </c>
      <c r="M8">
        <v>0</v>
      </c>
      <c r="N8">
        <v>0</v>
      </c>
      <c r="O8" s="31">
        <v>2</v>
      </c>
      <c r="P8">
        <v>0</v>
      </c>
      <c r="Q8">
        <v>0</v>
      </c>
      <c r="R8" s="28">
        <v>60</v>
      </c>
      <c r="S8">
        <v>1</v>
      </c>
      <c r="T8" s="34">
        <v>0</v>
      </c>
    </row>
    <row r="9" spans="1:20" x14ac:dyDescent="0.25">
      <c r="A9" s="2" t="s">
        <v>43</v>
      </c>
      <c r="B9" s="7">
        <v>0.30208333333333331</v>
      </c>
      <c r="C9" s="31">
        <v>3</v>
      </c>
      <c r="D9">
        <v>0</v>
      </c>
      <c r="E9">
        <v>0</v>
      </c>
      <c r="F9" s="28">
        <v>7</v>
      </c>
      <c r="G9">
        <v>0</v>
      </c>
      <c r="H9">
        <v>0</v>
      </c>
      <c r="I9" s="31">
        <v>165</v>
      </c>
      <c r="J9">
        <v>0</v>
      </c>
      <c r="K9">
        <v>1</v>
      </c>
      <c r="L9" s="28">
        <v>1</v>
      </c>
      <c r="M9">
        <v>0</v>
      </c>
      <c r="N9">
        <v>0</v>
      </c>
      <c r="O9" s="31">
        <v>2</v>
      </c>
      <c r="P9">
        <v>0</v>
      </c>
      <c r="Q9">
        <v>0</v>
      </c>
      <c r="R9" s="28">
        <v>60</v>
      </c>
      <c r="S9">
        <v>4</v>
      </c>
      <c r="T9" s="34">
        <v>1</v>
      </c>
    </row>
    <row r="10" spans="1:20" x14ac:dyDescent="0.25">
      <c r="A10" s="2" t="s">
        <v>43</v>
      </c>
      <c r="B10" s="7">
        <v>0.3125</v>
      </c>
      <c r="C10" s="31">
        <v>3</v>
      </c>
      <c r="D10">
        <v>0</v>
      </c>
      <c r="E10">
        <v>0</v>
      </c>
      <c r="F10" s="28">
        <v>12</v>
      </c>
      <c r="G10">
        <v>0</v>
      </c>
      <c r="H10">
        <v>1</v>
      </c>
      <c r="I10" s="31">
        <v>189</v>
      </c>
      <c r="J10">
        <v>9</v>
      </c>
      <c r="K10">
        <v>4</v>
      </c>
      <c r="L10" s="28">
        <v>3</v>
      </c>
      <c r="M10">
        <v>0</v>
      </c>
      <c r="N10">
        <v>0</v>
      </c>
      <c r="O10" s="31">
        <v>1</v>
      </c>
      <c r="P10">
        <v>0</v>
      </c>
      <c r="Q10">
        <v>0</v>
      </c>
      <c r="R10" s="28">
        <v>64</v>
      </c>
      <c r="S10">
        <v>8</v>
      </c>
      <c r="T10" s="34">
        <v>0</v>
      </c>
    </row>
    <row r="11" spans="1:20" x14ac:dyDescent="0.25">
      <c r="A11" s="2" t="s">
        <v>43</v>
      </c>
      <c r="B11" s="7">
        <v>0.32291666666666669</v>
      </c>
      <c r="C11" s="31">
        <v>13</v>
      </c>
      <c r="D11">
        <v>1</v>
      </c>
      <c r="E11">
        <v>0</v>
      </c>
      <c r="F11" s="28">
        <v>15</v>
      </c>
      <c r="G11">
        <v>0</v>
      </c>
      <c r="H11">
        <v>0</v>
      </c>
      <c r="I11" s="31">
        <v>171</v>
      </c>
      <c r="J11">
        <v>4</v>
      </c>
      <c r="K11">
        <v>4</v>
      </c>
      <c r="L11" s="28">
        <v>1</v>
      </c>
      <c r="M11">
        <v>0</v>
      </c>
      <c r="N11">
        <v>1</v>
      </c>
      <c r="O11" s="31">
        <v>6</v>
      </c>
      <c r="P11">
        <v>1</v>
      </c>
      <c r="Q11">
        <v>0</v>
      </c>
      <c r="R11" s="28">
        <v>105</v>
      </c>
      <c r="S11">
        <v>4</v>
      </c>
      <c r="T11" s="34">
        <v>1</v>
      </c>
    </row>
    <row r="12" spans="1:20" x14ac:dyDescent="0.25">
      <c r="A12" s="2" t="s">
        <v>43</v>
      </c>
      <c r="B12" s="7">
        <v>0.33333333333333331</v>
      </c>
      <c r="C12" s="31">
        <v>5</v>
      </c>
      <c r="D12">
        <v>0</v>
      </c>
      <c r="E12">
        <v>0</v>
      </c>
      <c r="F12" s="28">
        <v>12</v>
      </c>
      <c r="G12">
        <v>0</v>
      </c>
      <c r="H12">
        <v>0</v>
      </c>
      <c r="I12" s="31">
        <v>182</v>
      </c>
      <c r="J12">
        <v>7</v>
      </c>
      <c r="K12">
        <v>7</v>
      </c>
      <c r="L12" s="28">
        <v>3</v>
      </c>
      <c r="M12">
        <v>0</v>
      </c>
      <c r="N12">
        <v>0</v>
      </c>
      <c r="O12" s="31">
        <v>2</v>
      </c>
      <c r="P12">
        <v>0</v>
      </c>
      <c r="Q12">
        <v>0</v>
      </c>
      <c r="R12" s="28">
        <v>99</v>
      </c>
      <c r="S12">
        <v>3</v>
      </c>
      <c r="T12" s="34">
        <v>5</v>
      </c>
    </row>
    <row r="13" spans="1:20" x14ac:dyDescent="0.25">
      <c r="A13" s="2" t="s">
        <v>43</v>
      </c>
      <c r="B13" s="7">
        <v>0.34375</v>
      </c>
      <c r="C13" s="31">
        <v>9</v>
      </c>
      <c r="D13">
        <v>0</v>
      </c>
      <c r="E13">
        <v>0</v>
      </c>
      <c r="F13" s="28">
        <v>14</v>
      </c>
      <c r="G13">
        <v>0</v>
      </c>
      <c r="H13">
        <v>0</v>
      </c>
      <c r="I13" s="31">
        <v>182</v>
      </c>
      <c r="J13">
        <v>3</v>
      </c>
      <c r="K13">
        <v>2</v>
      </c>
      <c r="L13" s="28">
        <v>3</v>
      </c>
      <c r="M13">
        <v>0</v>
      </c>
      <c r="N13">
        <v>0</v>
      </c>
      <c r="O13" s="31">
        <v>1</v>
      </c>
      <c r="P13">
        <v>0</v>
      </c>
      <c r="Q13">
        <v>0</v>
      </c>
      <c r="R13" s="28">
        <v>90</v>
      </c>
      <c r="S13">
        <v>3</v>
      </c>
      <c r="T13" s="34">
        <v>1</v>
      </c>
    </row>
    <row r="14" spans="1:20" x14ac:dyDescent="0.25">
      <c r="A14" s="2" t="s">
        <v>43</v>
      </c>
      <c r="B14" s="7">
        <v>0.35416666666666669</v>
      </c>
      <c r="C14" s="31">
        <v>5</v>
      </c>
      <c r="D14">
        <v>0</v>
      </c>
      <c r="E14">
        <v>0</v>
      </c>
      <c r="F14" s="28">
        <v>6</v>
      </c>
      <c r="G14">
        <v>0</v>
      </c>
      <c r="H14">
        <v>0</v>
      </c>
      <c r="I14" s="31">
        <v>211</v>
      </c>
      <c r="J14">
        <v>5</v>
      </c>
      <c r="K14">
        <v>3</v>
      </c>
      <c r="L14" s="28">
        <v>1</v>
      </c>
      <c r="M14">
        <v>1</v>
      </c>
      <c r="N14">
        <v>0</v>
      </c>
      <c r="O14" s="31">
        <v>4</v>
      </c>
      <c r="P14">
        <v>0</v>
      </c>
      <c r="Q14">
        <v>0</v>
      </c>
      <c r="R14" s="28">
        <v>128</v>
      </c>
      <c r="S14">
        <v>2</v>
      </c>
      <c r="T14" s="34">
        <v>0</v>
      </c>
    </row>
    <row r="15" spans="1:20" ht="15.75" thickBot="1" x14ac:dyDescent="0.3">
      <c r="A15" s="2" t="s">
        <v>43</v>
      </c>
      <c r="B15" s="7">
        <v>0.36458333333333331</v>
      </c>
      <c r="C15" s="31">
        <v>7</v>
      </c>
      <c r="D15">
        <v>0</v>
      </c>
      <c r="E15">
        <v>0</v>
      </c>
      <c r="F15" s="28">
        <v>7</v>
      </c>
      <c r="G15">
        <v>0</v>
      </c>
      <c r="H15">
        <v>0</v>
      </c>
      <c r="I15" s="31">
        <v>164</v>
      </c>
      <c r="J15">
        <v>3</v>
      </c>
      <c r="K15">
        <v>4</v>
      </c>
      <c r="L15" s="28">
        <v>3</v>
      </c>
      <c r="M15">
        <v>0</v>
      </c>
      <c r="N15">
        <v>0</v>
      </c>
      <c r="O15" s="31">
        <v>1</v>
      </c>
      <c r="P15">
        <v>0</v>
      </c>
      <c r="Q15">
        <v>0</v>
      </c>
      <c r="R15" s="28">
        <v>89</v>
      </c>
      <c r="S15">
        <v>2</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3</v>
      </c>
      <c r="D17">
        <v>0</v>
      </c>
      <c r="E17">
        <v>0</v>
      </c>
      <c r="F17" s="28">
        <v>2</v>
      </c>
      <c r="G17">
        <v>0</v>
      </c>
      <c r="H17">
        <v>0</v>
      </c>
      <c r="I17" s="31">
        <v>77</v>
      </c>
      <c r="J17">
        <v>3</v>
      </c>
      <c r="K17">
        <v>0</v>
      </c>
      <c r="L17" s="28">
        <v>10</v>
      </c>
      <c r="M17">
        <v>0</v>
      </c>
      <c r="N17">
        <v>0</v>
      </c>
      <c r="O17" s="31">
        <v>3</v>
      </c>
      <c r="P17">
        <v>0</v>
      </c>
      <c r="Q17">
        <v>0</v>
      </c>
      <c r="R17" s="28">
        <v>121</v>
      </c>
      <c r="S17">
        <v>2</v>
      </c>
      <c r="T17" s="34">
        <v>0</v>
      </c>
    </row>
    <row r="18" spans="1:20" x14ac:dyDescent="0.25">
      <c r="A18" s="2" t="s">
        <v>91</v>
      </c>
      <c r="B18" s="7">
        <v>0.55208333333333337</v>
      </c>
      <c r="C18" s="31">
        <v>3</v>
      </c>
      <c r="D18">
        <v>0</v>
      </c>
      <c r="E18">
        <v>0</v>
      </c>
      <c r="F18" s="28">
        <v>4</v>
      </c>
      <c r="G18">
        <v>0</v>
      </c>
      <c r="H18">
        <v>0</v>
      </c>
      <c r="I18" s="31">
        <v>96</v>
      </c>
      <c r="J18">
        <v>7</v>
      </c>
      <c r="K18">
        <v>0</v>
      </c>
      <c r="L18" s="28">
        <v>2</v>
      </c>
      <c r="M18">
        <v>0</v>
      </c>
      <c r="N18">
        <v>0</v>
      </c>
      <c r="O18" s="31">
        <v>2</v>
      </c>
      <c r="P18">
        <v>0</v>
      </c>
      <c r="Q18">
        <v>0</v>
      </c>
      <c r="R18" s="28">
        <v>131</v>
      </c>
      <c r="S18">
        <v>5</v>
      </c>
      <c r="T18" s="34">
        <v>0</v>
      </c>
    </row>
    <row r="19" spans="1:20" x14ac:dyDescent="0.25">
      <c r="A19" s="2" t="s">
        <v>91</v>
      </c>
      <c r="B19" s="7">
        <v>0.5625</v>
      </c>
      <c r="C19" s="31">
        <v>4</v>
      </c>
      <c r="D19">
        <v>0</v>
      </c>
      <c r="E19">
        <v>0</v>
      </c>
      <c r="F19" s="28">
        <v>5</v>
      </c>
      <c r="G19">
        <v>0</v>
      </c>
      <c r="H19">
        <v>0</v>
      </c>
      <c r="I19" s="31">
        <v>90</v>
      </c>
      <c r="J19">
        <v>8</v>
      </c>
      <c r="K19">
        <v>0</v>
      </c>
      <c r="L19" s="28">
        <v>6</v>
      </c>
      <c r="M19">
        <v>0</v>
      </c>
      <c r="N19">
        <v>0</v>
      </c>
      <c r="O19" s="31">
        <v>6</v>
      </c>
      <c r="P19">
        <v>0</v>
      </c>
      <c r="Q19">
        <v>0</v>
      </c>
      <c r="R19" s="28">
        <v>122</v>
      </c>
      <c r="S19">
        <v>4</v>
      </c>
      <c r="T19" s="34">
        <v>0</v>
      </c>
    </row>
    <row r="20" spans="1:20" ht="15.75" thickBot="1" x14ac:dyDescent="0.3">
      <c r="A20" s="2" t="s">
        <v>91</v>
      </c>
      <c r="B20" s="7">
        <v>0.57291666666666663</v>
      </c>
      <c r="C20" s="31">
        <v>7</v>
      </c>
      <c r="D20">
        <v>0</v>
      </c>
      <c r="E20">
        <v>0</v>
      </c>
      <c r="F20" s="28">
        <v>2</v>
      </c>
      <c r="G20">
        <v>0</v>
      </c>
      <c r="H20">
        <v>0</v>
      </c>
      <c r="I20" s="31">
        <v>99</v>
      </c>
      <c r="J20">
        <v>2</v>
      </c>
      <c r="K20">
        <v>1</v>
      </c>
      <c r="L20" s="28">
        <v>2</v>
      </c>
      <c r="M20">
        <v>0</v>
      </c>
      <c r="N20">
        <v>0</v>
      </c>
      <c r="O20" s="31">
        <v>4</v>
      </c>
      <c r="P20">
        <v>0</v>
      </c>
      <c r="Q20">
        <v>0</v>
      </c>
      <c r="R20" s="28">
        <v>118</v>
      </c>
      <c r="S20">
        <v>3</v>
      </c>
      <c r="T20" s="34">
        <v>2</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4</v>
      </c>
      <c r="D22">
        <v>0</v>
      </c>
      <c r="E22">
        <v>0</v>
      </c>
      <c r="F22" s="28">
        <v>2</v>
      </c>
      <c r="G22">
        <v>0</v>
      </c>
      <c r="H22">
        <v>0</v>
      </c>
      <c r="I22" s="31">
        <v>114</v>
      </c>
      <c r="J22">
        <v>4</v>
      </c>
      <c r="K22">
        <v>1</v>
      </c>
      <c r="L22" s="28">
        <v>2</v>
      </c>
      <c r="M22">
        <v>0</v>
      </c>
      <c r="N22">
        <v>0</v>
      </c>
      <c r="O22" s="31">
        <v>3</v>
      </c>
      <c r="P22">
        <v>0</v>
      </c>
      <c r="Q22">
        <v>0</v>
      </c>
      <c r="R22" s="28">
        <v>191</v>
      </c>
      <c r="S22">
        <v>2</v>
      </c>
      <c r="T22" s="34">
        <v>3</v>
      </c>
    </row>
    <row r="23" spans="1:20" x14ac:dyDescent="0.25">
      <c r="A23" s="2" t="s">
        <v>44</v>
      </c>
      <c r="B23" s="7">
        <v>0.67708333333333337</v>
      </c>
      <c r="C23" s="31">
        <v>3</v>
      </c>
      <c r="D23">
        <v>0</v>
      </c>
      <c r="E23">
        <v>0</v>
      </c>
      <c r="F23" s="28">
        <v>3</v>
      </c>
      <c r="G23">
        <v>0</v>
      </c>
      <c r="H23">
        <v>0</v>
      </c>
      <c r="I23" s="31">
        <v>96</v>
      </c>
      <c r="J23">
        <v>3</v>
      </c>
      <c r="K23">
        <v>1</v>
      </c>
      <c r="L23" s="28">
        <v>5</v>
      </c>
      <c r="M23">
        <v>1</v>
      </c>
      <c r="N23">
        <v>0</v>
      </c>
      <c r="O23" s="31">
        <v>8</v>
      </c>
      <c r="P23">
        <v>0</v>
      </c>
      <c r="Q23">
        <v>0</v>
      </c>
      <c r="R23" s="28">
        <v>208</v>
      </c>
      <c r="S23">
        <v>5</v>
      </c>
      <c r="T23" s="34">
        <v>4</v>
      </c>
    </row>
    <row r="24" spans="1:20" x14ac:dyDescent="0.25">
      <c r="A24" s="2" t="s">
        <v>44</v>
      </c>
      <c r="B24" s="7">
        <v>0.6875</v>
      </c>
      <c r="C24" s="31">
        <v>7</v>
      </c>
      <c r="D24">
        <v>0</v>
      </c>
      <c r="E24">
        <v>0</v>
      </c>
      <c r="F24" s="28">
        <v>5</v>
      </c>
      <c r="G24">
        <v>0</v>
      </c>
      <c r="H24">
        <v>0</v>
      </c>
      <c r="I24" s="31">
        <v>127</v>
      </c>
      <c r="J24">
        <v>1</v>
      </c>
      <c r="K24">
        <v>1</v>
      </c>
      <c r="L24" s="28">
        <v>10</v>
      </c>
      <c r="M24">
        <v>0</v>
      </c>
      <c r="N24">
        <v>0</v>
      </c>
      <c r="O24" s="31">
        <v>5</v>
      </c>
      <c r="P24">
        <v>0</v>
      </c>
      <c r="Q24">
        <v>0</v>
      </c>
      <c r="R24" s="28">
        <v>218</v>
      </c>
      <c r="S24">
        <v>4</v>
      </c>
      <c r="T24" s="34">
        <v>1</v>
      </c>
    </row>
    <row r="25" spans="1:20" x14ac:dyDescent="0.25">
      <c r="A25" s="2" t="s">
        <v>44</v>
      </c>
      <c r="B25" s="7">
        <v>0.69791666666666663</v>
      </c>
      <c r="C25" s="31">
        <v>2</v>
      </c>
      <c r="D25">
        <v>0</v>
      </c>
      <c r="E25">
        <v>1</v>
      </c>
      <c r="F25" s="28">
        <v>3</v>
      </c>
      <c r="G25">
        <v>0</v>
      </c>
      <c r="H25">
        <v>0</v>
      </c>
      <c r="I25" s="31">
        <v>119</v>
      </c>
      <c r="J25">
        <v>1</v>
      </c>
      <c r="K25">
        <v>0</v>
      </c>
      <c r="L25" s="28">
        <v>7</v>
      </c>
      <c r="M25">
        <v>0</v>
      </c>
      <c r="N25">
        <v>0</v>
      </c>
      <c r="O25" s="31">
        <v>9</v>
      </c>
      <c r="P25">
        <v>0</v>
      </c>
      <c r="Q25">
        <v>0</v>
      </c>
      <c r="R25" s="28">
        <v>209</v>
      </c>
      <c r="S25">
        <v>1</v>
      </c>
      <c r="T25" s="34">
        <v>7</v>
      </c>
    </row>
    <row r="26" spans="1:20" x14ac:dyDescent="0.25">
      <c r="A26" s="2" t="s">
        <v>44</v>
      </c>
      <c r="B26" s="7">
        <v>0.70833333333333337</v>
      </c>
      <c r="C26" s="31">
        <v>11</v>
      </c>
      <c r="D26">
        <v>0</v>
      </c>
      <c r="E26">
        <v>0</v>
      </c>
      <c r="F26" s="28">
        <v>1</v>
      </c>
      <c r="G26">
        <v>0</v>
      </c>
      <c r="H26">
        <v>0</v>
      </c>
      <c r="I26" s="31">
        <v>126</v>
      </c>
      <c r="J26">
        <v>1</v>
      </c>
      <c r="K26">
        <v>0</v>
      </c>
      <c r="L26" s="28">
        <v>17</v>
      </c>
      <c r="M26">
        <v>0</v>
      </c>
      <c r="N26">
        <v>0</v>
      </c>
      <c r="O26" s="31">
        <v>6</v>
      </c>
      <c r="P26">
        <v>0</v>
      </c>
      <c r="Q26">
        <v>0</v>
      </c>
      <c r="R26" s="28">
        <v>199</v>
      </c>
      <c r="S26">
        <v>3</v>
      </c>
      <c r="T26" s="34">
        <v>6</v>
      </c>
    </row>
    <row r="27" spans="1:20" x14ac:dyDescent="0.25">
      <c r="A27" s="2" t="s">
        <v>44</v>
      </c>
      <c r="B27" s="7">
        <v>0.71875</v>
      </c>
      <c r="C27" s="31">
        <v>11</v>
      </c>
      <c r="D27">
        <v>0</v>
      </c>
      <c r="E27">
        <v>0</v>
      </c>
      <c r="F27" s="28">
        <v>1</v>
      </c>
      <c r="G27">
        <v>0</v>
      </c>
      <c r="H27">
        <v>0</v>
      </c>
      <c r="I27" s="31">
        <v>115</v>
      </c>
      <c r="J27">
        <v>1</v>
      </c>
      <c r="K27">
        <v>0</v>
      </c>
      <c r="L27" s="28">
        <v>16</v>
      </c>
      <c r="M27">
        <v>0</v>
      </c>
      <c r="N27">
        <v>0</v>
      </c>
      <c r="O27" s="31">
        <v>6</v>
      </c>
      <c r="P27">
        <v>0</v>
      </c>
      <c r="Q27">
        <v>0</v>
      </c>
      <c r="R27" s="28">
        <v>184</v>
      </c>
      <c r="S27">
        <v>1</v>
      </c>
      <c r="T27" s="34">
        <v>6</v>
      </c>
    </row>
    <row r="28" spans="1:20" x14ac:dyDescent="0.25">
      <c r="A28" s="2" t="s">
        <v>44</v>
      </c>
      <c r="B28" s="7">
        <v>0.72916666666666663</v>
      </c>
      <c r="C28" s="31">
        <v>5</v>
      </c>
      <c r="D28">
        <v>0</v>
      </c>
      <c r="E28">
        <v>0</v>
      </c>
      <c r="F28" s="28">
        <v>4</v>
      </c>
      <c r="G28">
        <v>0</v>
      </c>
      <c r="H28">
        <v>0</v>
      </c>
      <c r="I28" s="31">
        <v>95</v>
      </c>
      <c r="J28">
        <v>3</v>
      </c>
      <c r="K28">
        <v>0</v>
      </c>
      <c r="L28" s="28">
        <v>9</v>
      </c>
      <c r="M28">
        <v>0</v>
      </c>
      <c r="N28">
        <v>0</v>
      </c>
      <c r="O28" s="31">
        <v>4</v>
      </c>
      <c r="P28">
        <v>0</v>
      </c>
      <c r="Q28">
        <v>0</v>
      </c>
      <c r="R28" s="28">
        <v>203</v>
      </c>
      <c r="S28">
        <v>3</v>
      </c>
      <c r="T28" s="34">
        <v>7</v>
      </c>
    </row>
    <row r="29" spans="1:20" ht="15.75" thickBot="1" x14ac:dyDescent="0.3">
      <c r="A29" s="21" t="s">
        <v>44</v>
      </c>
      <c r="B29" s="48">
        <v>0.73958333333333337</v>
      </c>
      <c r="C29" s="39">
        <v>5</v>
      </c>
      <c r="D29" s="38">
        <v>0</v>
      </c>
      <c r="E29" s="38">
        <v>0</v>
      </c>
      <c r="F29" s="40">
        <v>3</v>
      </c>
      <c r="G29" s="38">
        <v>0</v>
      </c>
      <c r="H29" s="38">
        <v>0</v>
      </c>
      <c r="I29" s="39">
        <v>100</v>
      </c>
      <c r="J29" s="38">
        <v>1</v>
      </c>
      <c r="K29" s="38">
        <v>3</v>
      </c>
      <c r="L29" s="40">
        <v>10</v>
      </c>
      <c r="M29" s="38">
        <v>0</v>
      </c>
      <c r="N29" s="38">
        <v>0</v>
      </c>
      <c r="O29" s="39">
        <v>4</v>
      </c>
      <c r="P29" s="38">
        <v>0</v>
      </c>
      <c r="Q29" s="38">
        <v>0</v>
      </c>
      <c r="R29" s="40">
        <v>164</v>
      </c>
      <c r="S29" s="38">
        <v>1</v>
      </c>
      <c r="T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5</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3</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4</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7</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3</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7</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11</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5</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5</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12</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12</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14</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2</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5</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2</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3</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5</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3</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3</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180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165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189</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171</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182</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182</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211</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164</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77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96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90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99</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114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96</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127</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119</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126</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115</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95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100</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9</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4</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7</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5</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3</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7</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8</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4</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4</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7</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2</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3</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4</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3</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3</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3</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10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5</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10</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17</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16</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9</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6</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4</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3</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6</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4</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8</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5</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6</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6</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4</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4</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60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60</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64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105</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99</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90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128</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89</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121</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131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122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118</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191</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208</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218</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209</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199</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184</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203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164</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8</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3</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5</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4</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5</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4</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5</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2</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3</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4</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1</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7</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6</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6</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7</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3</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102</v>
      </c>
      <c r="L11" s="53" t="s">
        <v>94</v>
      </c>
      <c r="M11" s="54"/>
      <c r="N11" s="54"/>
      <c r="O11" s="54"/>
      <c r="P11" s="54"/>
      <c r="Q11" s="54"/>
      <c r="R11" s="54"/>
      <c r="S11" s="54"/>
      <c r="T11" s="51" t="s">
        <v>103</v>
      </c>
      <c r="U11" s="53" t="s">
        <v>95</v>
      </c>
      <c r="V11" s="54"/>
      <c r="W11" s="54"/>
      <c r="X11" s="54"/>
      <c r="Y11" s="54"/>
      <c r="Z11" s="54"/>
      <c r="AA11" s="54"/>
      <c r="AB11" s="54"/>
      <c r="AC11" s="51" t="s">
        <v>104</v>
      </c>
      <c r="AD11" s="51" t="s">
        <v>49</v>
      </c>
    </row>
    <row r="12" spans="2:30" x14ac:dyDescent="0.25">
      <c r="B12" s="25"/>
      <c r="C12" s="51" t="s">
        <v>96</v>
      </c>
      <c r="D12" s="52"/>
      <c r="E12" s="52"/>
      <c r="F12" s="51" t="s">
        <v>105</v>
      </c>
      <c r="G12" s="51" t="s">
        <v>97</v>
      </c>
      <c r="H12" s="52"/>
      <c r="I12" s="52"/>
      <c r="J12" s="51" t="s">
        <v>106</v>
      </c>
      <c r="K12" s="52"/>
      <c r="L12" s="51" t="s">
        <v>98</v>
      </c>
      <c r="M12" s="52"/>
      <c r="N12" s="52"/>
      <c r="O12" s="51" t="s">
        <v>107</v>
      </c>
      <c r="P12" s="51" t="s">
        <v>99</v>
      </c>
      <c r="Q12" s="52"/>
      <c r="R12" s="52"/>
      <c r="S12" s="51" t="s">
        <v>108</v>
      </c>
      <c r="T12" s="52"/>
      <c r="U12" s="51" t="s">
        <v>100</v>
      </c>
      <c r="V12" s="52"/>
      <c r="W12" s="52"/>
      <c r="X12" s="51" t="s">
        <v>109</v>
      </c>
      <c r="Y12" s="51" t="s">
        <v>101</v>
      </c>
      <c r="Z12" s="52"/>
      <c r="AA12" s="52"/>
      <c r="AB12" s="51" t="s">
        <v>110</v>
      </c>
      <c r="AC12" s="52"/>
      <c r="AD12" s="52"/>
    </row>
    <row r="13" spans="2:30" ht="30" x14ac:dyDescent="0.25">
      <c r="B13" s="25"/>
      <c r="C13" s="24" t="s">
        <v>79</v>
      </c>
      <c r="D13" s="24" t="s">
        <v>90</v>
      </c>
      <c r="E13" s="24" t="s">
        <v>88</v>
      </c>
      <c r="F13" s="52"/>
      <c r="G13" s="24" t="s">
        <v>79</v>
      </c>
      <c r="H13" s="24" t="s">
        <v>90</v>
      </c>
      <c r="I13" s="24" t="s">
        <v>88</v>
      </c>
      <c r="J13" s="52"/>
      <c r="K13" s="52"/>
      <c r="L13" s="24" t="s">
        <v>79</v>
      </c>
      <c r="M13" s="24" t="s">
        <v>90</v>
      </c>
      <c r="N13" s="24" t="s">
        <v>88</v>
      </c>
      <c r="O13" s="52"/>
      <c r="P13" s="24" t="s">
        <v>79</v>
      </c>
      <c r="Q13" s="24" t="s">
        <v>90</v>
      </c>
      <c r="R13" s="24" t="s">
        <v>88</v>
      </c>
      <c r="S13" s="52"/>
      <c r="T13" s="52"/>
      <c r="U13" s="24" t="s">
        <v>79</v>
      </c>
      <c r="V13" s="24" t="s">
        <v>90</v>
      </c>
      <c r="W13" s="24" t="s">
        <v>88</v>
      </c>
      <c r="X13" s="52"/>
      <c r="Y13" s="24" t="s">
        <v>79</v>
      </c>
      <c r="Z13" s="24" t="s">
        <v>90</v>
      </c>
      <c r="AA13" s="24" t="s">
        <v>88</v>
      </c>
      <c r="AB13" s="52"/>
      <c r="AC13" s="52"/>
      <c r="AD13" s="52"/>
    </row>
    <row r="14" spans="2:30" x14ac:dyDescent="0.25">
      <c r="B14" s="10" t="s">
        <v>43</v>
      </c>
      <c r="C14" s="49">
        <v>51</v>
      </c>
      <c r="D14" s="49">
        <v>1</v>
      </c>
      <c r="E14" s="49">
        <v>0</v>
      </c>
      <c r="F14" s="49">
        <v>52</v>
      </c>
      <c r="G14" s="49">
        <v>76</v>
      </c>
      <c r="H14" s="49">
        <v>0</v>
      </c>
      <c r="I14" s="49">
        <v>2</v>
      </c>
      <c r="J14" s="49">
        <v>78</v>
      </c>
      <c r="K14" s="49">
        <v>130</v>
      </c>
      <c r="L14" s="49">
        <v>1444</v>
      </c>
      <c r="M14" s="49">
        <v>33</v>
      </c>
      <c r="N14" s="49">
        <v>26</v>
      </c>
      <c r="O14" s="49">
        <v>1503</v>
      </c>
      <c r="P14" s="49">
        <v>19</v>
      </c>
      <c r="Q14" s="49">
        <v>1</v>
      </c>
      <c r="R14" s="49">
        <v>1</v>
      </c>
      <c r="S14" s="49">
        <v>21</v>
      </c>
      <c r="T14" s="49">
        <v>1524</v>
      </c>
      <c r="U14" s="49">
        <v>19</v>
      </c>
      <c r="V14" s="49">
        <v>1</v>
      </c>
      <c r="W14" s="49">
        <v>0</v>
      </c>
      <c r="X14" s="49">
        <v>20</v>
      </c>
      <c r="Y14" s="49">
        <v>695</v>
      </c>
      <c r="Z14" s="49">
        <v>27</v>
      </c>
      <c r="AA14" s="49">
        <v>8</v>
      </c>
      <c r="AB14" s="49">
        <v>730</v>
      </c>
      <c r="AC14" s="49">
        <v>750</v>
      </c>
      <c r="AD14" s="49">
        <v>2404</v>
      </c>
    </row>
    <row r="15" spans="2:30" x14ac:dyDescent="0.25">
      <c r="B15" s="11">
        <v>0.29166666666666669</v>
      </c>
      <c r="C15" s="49">
        <v>6</v>
      </c>
      <c r="D15" s="49">
        <v>0</v>
      </c>
      <c r="E15" s="49">
        <v>0</v>
      </c>
      <c r="F15" s="49">
        <v>6</v>
      </c>
      <c r="G15" s="49">
        <v>3</v>
      </c>
      <c r="H15" s="49">
        <v>0</v>
      </c>
      <c r="I15" s="49">
        <v>1</v>
      </c>
      <c r="J15" s="49">
        <v>4</v>
      </c>
      <c r="K15" s="49">
        <v>10</v>
      </c>
      <c r="L15" s="49">
        <v>180</v>
      </c>
      <c r="M15" s="49">
        <v>2</v>
      </c>
      <c r="N15" s="49">
        <v>1</v>
      </c>
      <c r="O15" s="49">
        <v>183</v>
      </c>
      <c r="P15" s="49">
        <v>4</v>
      </c>
      <c r="Q15" s="49">
        <v>0</v>
      </c>
      <c r="R15" s="49">
        <v>0</v>
      </c>
      <c r="S15" s="49">
        <v>4</v>
      </c>
      <c r="T15" s="49">
        <v>187</v>
      </c>
      <c r="U15" s="49">
        <v>2</v>
      </c>
      <c r="V15" s="49">
        <v>0</v>
      </c>
      <c r="W15" s="49">
        <v>0</v>
      </c>
      <c r="X15" s="49">
        <v>2</v>
      </c>
      <c r="Y15" s="49">
        <v>60</v>
      </c>
      <c r="Z15" s="49">
        <v>1</v>
      </c>
      <c r="AA15" s="49">
        <v>0</v>
      </c>
      <c r="AB15" s="49">
        <v>61</v>
      </c>
      <c r="AC15" s="49">
        <v>63</v>
      </c>
      <c r="AD15" s="49">
        <v>260</v>
      </c>
    </row>
    <row r="16" spans="2:30" x14ac:dyDescent="0.25">
      <c r="B16" s="11">
        <v>0.30208333333333331</v>
      </c>
      <c r="C16" s="49">
        <v>3</v>
      </c>
      <c r="D16" s="49">
        <v>0</v>
      </c>
      <c r="E16" s="49">
        <v>0</v>
      </c>
      <c r="F16" s="49">
        <v>3</v>
      </c>
      <c r="G16" s="49">
        <v>7</v>
      </c>
      <c r="H16" s="49">
        <v>0</v>
      </c>
      <c r="I16" s="49">
        <v>0</v>
      </c>
      <c r="J16" s="49">
        <v>7</v>
      </c>
      <c r="K16" s="49">
        <v>10</v>
      </c>
      <c r="L16" s="49">
        <v>165</v>
      </c>
      <c r="M16" s="49">
        <v>0</v>
      </c>
      <c r="N16" s="49">
        <v>1</v>
      </c>
      <c r="O16" s="49">
        <v>166</v>
      </c>
      <c r="P16" s="49">
        <v>1</v>
      </c>
      <c r="Q16" s="49">
        <v>0</v>
      </c>
      <c r="R16" s="49">
        <v>0</v>
      </c>
      <c r="S16" s="49">
        <v>1</v>
      </c>
      <c r="T16" s="49">
        <v>167</v>
      </c>
      <c r="U16" s="49">
        <v>2</v>
      </c>
      <c r="V16" s="49">
        <v>0</v>
      </c>
      <c r="W16" s="49">
        <v>0</v>
      </c>
      <c r="X16" s="49">
        <v>2</v>
      </c>
      <c r="Y16" s="49">
        <v>60</v>
      </c>
      <c r="Z16" s="49">
        <v>4</v>
      </c>
      <c r="AA16" s="49">
        <v>1</v>
      </c>
      <c r="AB16" s="49">
        <v>65</v>
      </c>
      <c r="AC16" s="49">
        <v>67</v>
      </c>
      <c r="AD16" s="49">
        <v>244</v>
      </c>
    </row>
    <row r="17" spans="2:30" x14ac:dyDescent="0.25">
      <c r="B17" s="11">
        <v>0.3125</v>
      </c>
      <c r="C17" s="49">
        <v>3</v>
      </c>
      <c r="D17" s="49">
        <v>0</v>
      </c>
      <c r="E17" s="49">
        <v>0</v>
      </c>
      <c r="F17" s="49">
        <v>3</v>
      </c>
      <c r="G17" s="49">
        <v>12</v>
      </c>
      <c r="H17" s="49">
        <v>0</v>
      </c>
      <c r="I17" s="49">
        <v>1</v>
      </c>
      <c r="J17" s="49">
        <v>13</v>
      </c>
      <c r="K17" s="49">
        <v>16</v>
      </c>
      <c r="L17" s="49">
        <v>189</v>
      </c>
      <c r="M17" s="49">
        <v>9</v>
      </c>
      <c r="N17" s="49">
        <v>4</v>
      </c>
      <c r="O17" s="49">
        <v>202</v>
      </c>
      <c r="P17" s="49">
        <v>3</v>
      </c>
      <c r="Q17" s="49">
        <v>0</v>
      </c>
      <c r="R17" s="49">
        <v>0</v>
      </c>
      <c r="S17" s="49">
        <v>3</v>
      </c>
      <c r="T17" s="49">
        <v>205</v>
      </c>
      <c r="U17" s="49">
        <v>1</v>
      </c>
      <c r="V17" s="49">
        <v>0</v>
      </c>
      <c r="W17" s="49">
        <v>0</v>
      </c>
      <c r="X17" s="49">
        <v>1</v>
      </c>
      <c r="Y17" s="49">
        <v>64</v>
      </c>
      <c r="Z17" s="49">
        <v>8</v>
      </c>
      <c r="AA17" s="49">
        <v>0</v>
      </c>
      <c r="AB17" s="49">
        <v>72</v>
      </c>
      <c r="AC17" s="49">
        <v>73</v>
      </c>
      <c r="AD17" s="49">
        <v>294</v>
      </c>
    </row>
    <row r="18" spans="2:30" x14ac:dyDescent="0.25">
      <c r="B18" s="11">
        <v>0.32291666666666669</v>
      </c>
      <c r="C18" s="49">
        <v>13</v>
      </c>
      <c r="D18" s="49">
        <v>1</v>
      </c>
      <c r="E18" s="49">
        <v>0</v>
      </c>
      <c r="F18" s="49">
        <v>14</v>
      </c>
      <c r="G18" s="49">
        <v>15</v>
      </c>
      <c r="H18" s="49">
        <v>0</v>
      </c>
      <c r="I18" s="49">
        <v>0</v>
      </c>
      <c r="J18" s="49">
        <v>15</v>
      </c>
      <c r="K18" s="49">
        <v>29</v>
      </c>
      <c r="L18" s="49">
        <v>171</v>
      </c>
      <c r="M18" s="49">
        <v>4</v>
      </c>
      <c r="N18" s="49">
        <v>4</v>
      </c>
      <c r="O18" s="49">
        <v>179</v>
      </c>
      <c r="P18" s="49">
        <v>1</v>
      </c>
      <c r="Q18" s="49">
        <v>0</v>
      </c>
      <c r="R18" s="49">
        <v>1</v>
      </c>
      <c r="S18" s="49">
        <v>2</v>
      </c>
      <c r="T18" s="49">
        <v>181</v>
      </c>
      <c r="U18" s="49">
        <v>6</v>
      </c>
      <c r="V18" s="49">
        <v>1</v>
      </c>
      <c r="W18" s="49">
        <v>0</v>
      </c>
      <c r="X18" s="49">
        <v>7</v>
      </c>
      <c r="Y18" s="49">
        <v>105</v>
      </c>
      <c r="Z18" s="49">
        <v>4</v>
      </c>
      <c r="AA18" s="49">
        <v>1</v>
      </c>
      <c r="AB18" s="49">
        <v>110</v>
      </c>
      <c r="AC18" s="49">
        <v>117</v>
      </c>
      <c r="AD18" s="49">
        <v>327</v>
      </c>
    </row>
    <row r="19" spans="2:30" x14ac:dyDescent="0.25">
      <c r="B19" s="11">
        <v>0.33333333333333331</v>
      </c>
      <c r="C19" s="49">
        <v>5</v>
      </c>
      <c r="D19" s="49">
        <v>0</v>
      </c>
      <c r="E19" s="49">
        <v>0</v>
      </c>
      <c r="F19" s="49">
        <v>5</v>
      </c>
      <c r="G19" s="49">
        <v>12</v>
      </c>
      <c r="H19" s="49">
        <v>0</v>
      </c>
      <c r="I19" s="49">
        <v>0</v>
      </c>
      <c r="J19" s="49">
        <v>12</v>
      </c>
      <c r="K19" s="49">
        <v>17</v>
      </c>
      <c r="L19" s="49">
        <v>182</v>
      </c>
      <c r="M19" s="49">
        <v>7</v>
      </c>
      <c r="N19" s="49">
        <v>7</v>
      </c>
      <c r="O19" s="49">
        <v>196</v>
      </c>
      <c r="P19" s="49">
        <v>3</v>
      </c>
      <c r="Q19" s="49">
        <v>0</v>
      </c>
      <c r="R19" s="49">
        <v>0</v>
      </c>
      <c r="S19" s="49">
        <v>3</v>
      </c>
      <c r="T19" s="49">
        <v>199</v>
      </c>
      <c r="U19" s="49">
        <v>2</v>
      </c>
      <c r="V19" s="49">
        <v>0</v>
      </c>
      <c r="W19" s="49">
        <v>0</v>
      </c>
      <c r="X19" s="49">
        <v>2</v>
      </c>
      <c r="Y19" s="49">
        <v>99</v>
      </c>
      <c r="Z19" s="49">
        <v>3</v>
      </c>
      <c r="AA19" s="49">
        <v>5</v>
      </c>
      <c r="AB19" s="49">
        <v>107</v>
      </c>
      <c r="AC19" s="49">
        <v>109</v>
      </c>
      <c r="AD19" s="49">
        <v>325</v>
      </c>
    </row>
    <row r="20" spans="2:30" x14ac:dyDescent="0.25">
      <c r="B20" s="11">
        <v>0.34375</v>
      </c>
      <c r="C20" s="49">
        <v>9</v>
      </c>
      <c r="D20" s="49">
        <v>0</v>
      </c>
      <c r="E20" s="49">
        <v>0</v>
      </c>
      <c r="F20" s="49">
        <v>9</v>
      </c>
      <c r="G20" s="49">
        <v>14</v>
      </c>
      <c r="H20" s="49">
        <v>0</v>
      </c>
      <c r="I20" s="49">
        <v>0</v>
      </c>
      <c r="J20" s="49">
        <v>14</v>
      </c>
      <c r="K20" s="49">
        <v>23</v>
      </c>
      <c r="L20" s="49">
        <v>182</v>
      </c>
      <c r="M20" s="49">
        <v>3</v>
      </c>
      <c r="N20" s="49">
        <v>2</v>
      </c>
      <c r="O20" s="49">
        <v>187</v>
      </c>
      <c r="P20" s="49">
        <v>3</v>
      </c>
      <c r="Q20" s="49">
        <v>0</v>
      </c>
      <c r="R20" s="49">
        <v>0</v>
      </c>
      <c r="S20" s="49">
        <v>3</v>
      </c>
      <c r="T20" s="49">
        <v>190</v>
      </c>
      <c r="U20" s="49">
        <v>1</v>
      </c>
      <c r="V20" s="49">
        <v>0</v>
      </c>
      <c r="W20" s="49">
        <v>0</v>
      </c>
      <c r="X20" s="49">
        <v>1</v>
      </c>
      <c r="Y20" s="49">
        <v>90</v>
      </c>
      <c r="Z20" s="49">
        <v>3</v>
      </c>
      <c r="AA20" s="49">
        <v>1</v>
      </c>
      <c r="AB20" s="49">
        <v>94</v>
      </c>
      <c r="AC20" s="49">
        <v>95</v>
      </c>
      <c r="AD20" s="49">
        <v>308</v>
      </c>
    </row>
    <row r="21" spans="2:30" x14ac:dyDescent="0.25">
      <c r="B21" s="11">
        <v>0.35416666666666669</v>
      </c>
      <c r="C21" s="49">
        <v>5</v>
      </c>
      <c r="D21" s="49">
        <v>0</v>
      </c>
      <c r="E21" s="49">
        <v>0</v>
      </c>
      <c r="F21" s="49">
        <v>5</v>
      </c>
      <c r="G21" s="49">
        <v>6</v>
      </c>
      <c r="H21" s="49">
        <v>0</v>
      </c>
      <c r="I21" s="49">
        <v>0</v>
      </c>
      <c r="J21" s="49">
        <v>6</v>
      </c>
      <c r="K21" s="49">
        <v>11</v>
      </c>
      <c r="L21" s="49">
        <v>211</v>
      </c>
      <c r="M21" s="49">
        <v>5</v>
      </c>
      <c r="N21" s="49">
        <v>3</v>
      </c>
      <c r="O21" s="49">
        <v>219</v>
      </c>
      <c r="P21" s="49">
        <v>1</v>
      </c>
      <c r="Q21" s="49">
        <v>1</v>
      </c>
      <c r="R21" s="49">
        <v>0</v>
      </c>
      <c r="S21" s="49">
        <v>2</v>
      </c>
      <c r="T21" s="49">
        <v>221</v>
      </c>
      <c r="U21" s="49">
        <v>4</v>
      </c>
      <c r="V21" s="49">
        <v>0</v>
      </c>
      <c r="W21" s="49">
        <v>0</v>
      </c>
      <c r="X21" s="49">
        <v>4</v>
      </c>
      <c r="Y21" s="49">
        <v>128</v>
      </c>
      <c r="Z21" s="49">
        <v>2</v>
      </c>
      <c r="AA21" s="49">
        <v>0</v>
      </c>
      <c r="AB21" s="49">
        <v>130</v>
      </c>
      <c r="AC21" s="49">
        <v>134</v>
      </c>
      <c r="AD21" s="49">
        <v>366</v>
      </c>
    </row>
    <row r="22" spans="2:30" x14ac:dyDescent="0.25">
      <c r="B22" s="11">
        <v>0.36458333333333331</v>
      </c>
      <c r="C22" s="49">
        <v>7</v>
      </c>
      <c r="D22" s="49">
        <v>0</v>
      </c>
      <c r="E22" s="49">
        <v>0</v>
      </c>
      <c r="F22" s="49">
        <v>7</v>
      </c>
      <c r="G22" s="49">
        <v>7</v>
      </c>
      <c r="H22" s="49">
        <v>0</v>
      </c>
      <c r="I22" s="49">
        <v>0</v>
      </c>
      <c r="J22" s="49">
        <v>7</v>
      </c>
      <c r="K22" s="49">
        <v>14</v>
      </c>
      <c r="L22" s="49">
        <v>164</v>
      </c>
      <c r="M22" s="49">
        <v>3</v>
      </c>
      <c r="N22" s="49">
        <v>4</v>
      </c>
      <c r="O22" s="49">
        <v>171</v>
      </c>
      <c r="P22" s="49">
        <v>3</v>
      </c>
      <c r="Q22" s="49">
        <v>0</v>
      </c>
      <c r="R22" s="49">
        <v>0</v>
      </c>
      <c r="S22" s="49">
        <v>3</v>
      </c>
      <c r="T22" s="49">
        <v>174</v>
      </c>
      <c r="U22" s="49">
        <v>1</v>
      </c>
      <c r="V22" s="49">
        <v>0</v>
      </c>
      <c r="W22" s="49">
        <v>0</v>
      </c>
      <c r="X22" s="49">
        <v>1</v>
      </c>
      <c r="Y22" s="49">
        <v>89</v>
      </c>
      <c r="Z22" s="49">
        <v>2</v>
      </c>
      <c r="AA22" s="49">
        <v>0</v>
      </c>
      <c r="AB22" s="49">
        <v>91</v>
      </c>
      <c r="AC22" s="49">
        <v>92</v>
      </c>
      <c r="AD22" s="49">
        <v>280</v>
      </c>
    </row>
    <row r="23" spans="2:30" x14ac:dyDescent="0.25">
      <c r="B23" s="10" t="s">
        <v>44</v>
      </c>
      <c r="C23" s="49">
        <v>48</v>
      </c>
      <c r="D23" s="49">
        <v>0</v>
      </c>
      <c r="E23" s="49">
        <v>1</v>
      </c>
      <c r="F23" s="49">
        <v>49</v>
      </c>
      <c r="G23" s="49">
        <v>22</v>
      </c>
      <c r="H23" s="49">
        <v>0</v>
      </c>
      <c r="I23" s="49">
        <v>0</v>
      </c>
      <c r="J23" s="49">
        <v>22</v>
      </c>
      <c r="K23" s="49">
        <v>71</v>
      </c>
      <c r="L23" s="49">
        <v>892</v>
      </c>
      <c r="M23" s="49">
        <v>15</v>
      </c>
      <c r="N23" s="49">
        <v>6</v>
      </c>
      <c r="O23" s="49">
        <v>913</v>
      </c>
      <c r="P23" s="49">
        <v>76</v>
      </c>
      <c r="Q23" s="49">
        <v>1</v>
      </c>
      <c r="R23" s="49">
        <v>0</v>
      </c>
      <c r="S23" s="49">
        <v>77</v>
      </c>
      <c r="T23" s="49">
        <v>990</v>
      </c>
      <c r="U23" s="49">
        <v>45</v>
      </c>
      <c r="V23" s="49">
        <v>0</v>
      </c>
      <c r="W23" s="49">
        <v>0</v>
      </c>
      <c r="X23" s="49">
        <v>45</v>
      </c>
      <c r="Y23" s="49">
        <v>1576</v>
      </c>
      <c r="Z23" s="49">
        <v>20</v>
      </c>
      <c r="AA23" s="49">
        <v>37</v>
      </c>
      <c r="AB23" s="49">
        <v>1633</v>
      </c>
      <c r="AC23" s="49">
        <v>1678</v>
      </c>
      <c r="AD23" s="49">
        <v>2739</v>
      </c>
    </row>
    <row r="24" spans="2:30" x14ac:dyDescent="0.25">
      <c r="B24" s="11">
        <v>0.66666666666666663</v>
      </c>
      <c r="C24" s="49">
        <v>4</v>
      </c>
      <c r="D24" s="49">
        <v>0</v>
      </c>
      <c r="E24" s="49">
        <v>0</v>
      </c>
      <c r="F24" s="49">
        <v>4</v>
      </c>
      <c r="G24" s="49">
        <v>2</v>
      </c>
      <c r="H24" s="49">
        <v>0</v>
      </c>
      <c r="I24" s="49">
        <v>0</v>
      </c>
      <c r="J24" s="49">
        <v>2</v>
      </c>
      <c r="K24" s="49">
        <v>6</v>
      </c>
      <c r="L24" s="49">
        <v>114</v>
      </c>
      <c r="M24" s="49">
        <v>4</v>
      </c>
      <c r="N24" s="49">
        <v>1</v>
      </c>
      <c r="O24" s="49">
        <v>119</v>
      </c>
      <c r="P24" s="49">
        <v>2</v>
      </c>
      <c r="Q24" s="49">
        <v>0</v>
      </c>
      <c r="R24" s="49">
        <v>0</v>
      </c>
      <c r="S24" s="49">
        <v>2</v>
      </c>
      <c r="T24" s="49">
        <v>121</v>
      </c>
      <c r="U24" s="49">
        <v>3</v>
      </c>
      <c r="V24" s="49">
        <v>0</v>
      </c>
      <c r="W24" s="49">
        <v>0</v>
      </c>
      <c r="X24" s="49">
        <v>3</v>
      </c>
      <c r="Y24" s="49">
        <v>191</v>
      </c>
      <c r="Z24" s="49">
        <v>2</v>
      </c>
      <c r="AA24" s="49">
        <v>3</v>
      </c>
      <c r="AB24" s="49">
        <v>196</v>
      </c>
      <c r="AC24" s="49">
        <v>199</v>
      </c>
      <c r="AD24" s="49">
        <v>326</v>
      </c>
    </row>
    <row r="25" spans="2:30" x14ac:dyDescent="0.25">
      <c r="B25" s="11">
        <v>0.67708333333333337</v>
      </c>
      <c r="C25" s="49">
        <v>3</v>
      </c>
      <c r="D25" s="49">
        <v>0</v>
      </c>
      <c r="E25" s="49">
        <v>0</v>
      </c>
      <c r="F25" s="49">
        <v>3</v>
      </c>
      <c r="G25" s="49">
        <v>3</v>
      </c>
      <c r="H25" s="49">
        <v>0</v>
      </c>
      <c r="I25" s="49">
        <v>0</v>
      </c>
      <c r="J25" s="49">
        <v>3</v>
      </c>
      <c r="K25" s="49">
        <v>6</v>
      </c>
      <c r="L25" s="49">
        <v>96</v>
      </c>
      <c r="M25" s="49">
        <v>3</v>
      </c>
      <c r="N25" s="49">
        <v>1</v>
      </c>
      <c r="O25" s="49">
        <v>100</v>
      </c>
      <c r="P25" s="49">
        <v>5</v>
      </c>
      <c r="Q25" s="49">
        <v>1</v>
      </c>
      <c r="R25" s="49">
        <v>0</v>
      </c>
      <c r="S25" s="49">
        <v>6</v>
      </c>
      <c r="T25" s="49">
        <v>106</v>
      </c>
      <c r="U25" s="49">
        <v>8</v>
      </c>
      <c r="V25" s="49">
        <v>0</v>
      </c>
      <c r="W25" s="49">
        <v>0</v>
      </c>
      <c r="X25" s="49">
        <v>8</v>
      </c>
      <c r="Y25" s="49">
        <v>208</v>
      </c>
      <c r="Z25" s="49">
        <v>5</v>
      </c>
      <c r="AA25" s="49">
        <v>4</v>
      </c>
      <c r="AB25" s="49">
        <v>217</v>
      </c>
      <c r="AC25" s="49">
        <v>225</v>
      </c>
      <c r="AD25" s="49">
        <v>337</v>
      </c>
    </row>
    <row r="26" spans="2:30" x14ac:dyDescent="0.25">
      <c r="B26" s="11">
        <v>0.6875</v>
      </c>
      <c r="C26" s="49">
        <v>7</v>
      </c>
      <c r="D26" s="49">
        <v>0</v>
      </c>
      <c r="E26" s="49">
        <v>0</v>
      </c>
      <c r="F26" s="49">
        <v>7</v>
      </c>
      <c r="G26" s="49">
        <v>5</v>
      </c>
      <c r="H26" s="49">
        <v>0</v>
      </c>
      <c r="I26" s="49">
        <v>0</v>
      </c>
      <c r="J26" s="49">
        <v>5</v>
      </c>
      <c r="K26" s="49">
        <v>12</v>
      </c>
      <c r="L26" s="49">
        <v>127</v>
      </c>
      <c r="M26" s="49">
        <v>1</v>
      </c>
      <c r="N26" s="49">
        <v>1</v>
      </c>
      <c r="O26" s="49">
        <v>129</v>
      </c>
      <c r="P26" s="49">
        <v>10</v>
      </c>
      <c r="Q26" s="49">
        <v>0</v>
      </c>
      <c r="R26" s="49">
        <v>0</v>
      </c>
      <c r="S26" s="49">
        <v>10</v>
      </c>
      <c r="T26" s="49">
        <v>139</v>
      </c>
      <c r="U26" s="49">
        <v>5</v>
      </c>
      <c r="V26" s="49">
        <v>0</v>
      </c>
      <c r="W26" s="49">
        <v>0</v>
      </c>
      <c r="X26" s="49">
        <v>5</v>
      </c>
      <c r="Y26" s="49">
        <v>218</v>
      </c>
      <c r="Z26" s="49">
        <v>4</v>
      </c>
      <c r="AA26" s="49">
        <v>1</v>
      </c>
      <c r="AB26" s="49">
        <v>223</v>
      </c>
      <c r="AC26" s="49">
        <v>228</v>
      </c>
      <c r="AD26" s="49">
        <v>379</v>
      </c>
    </row>
    <row r="27" spans="2:30" x14ac:dyDescent="0.25">
      <c r="B27" s="11">
        <v>0.69791666666666663</v>
      </c>
      <c r="C27" s="49">
        <v>2</v>
      </c>
      <c r="D27" s="49">
        <v>0</v>
      </c>
      <c r="E27" s="49">
        <v>1</v>
      </c>
      <c r="F27" s="49">
        <v>3</v>
      </c>
      <c r="G27" s="49">
        <v>3</v>
      </c>
      <c r="H27" s="49">
        <v>0</v>
      </c>
      <c r="I27" s="49">
        <v>0</v>
      </c>
      <c r="J27" s="49">
        <v>3</v>
      </c>
      <c r="K27" s="49">
        <v>6</v>
      </c>
      <c r="L27" s="49">
        <v>119</v>
      </c>
      <c r="M27" s="49">
        <v>1</v>
      </c>
      <c r="N27" s="49">
        <v>0</v>
      </c>
      <c r="O27" s="49">
        <v>120</v>
      </c>
      <c r="P27" s="49">
        <v>7</v>
      </c>
      <c r="Q27" s="49">
        <v>0</v>
      </c>
      <c r="R27" s="49">
        <v>0</v>
      </c>
      <c r="S27" s="49">
        <v>7</v>
      </c>
      <c r="T27" s="49">
        <v>127</v>
      </c>
      <c r="U27" s="49">
        <v>9</v>
      </c>
      <c r="V27" s="49">
        <v>0</v>
      </c>
      <c r="W27" s="49">
        <v>0</v>
      </c>
      <c r="X27" s="49">
        <v>9</v>
      </c>
      <c r="Y27" s="49">
        <v>209</v>
      </c>
      <c r="Z27" s="49">
        <v>1</v>
      </c>
      <c r="AA27" s="49">
        <v>7</v>
      </c>
      <c r="AB27" s="49">
        <v>217</v>
      </c>
      <c r="AC27" s="49">
        <v>226</v>
      </c>
      <c r="AD27" s="49">
        <v>359</v>
      </c>
    </row>
    <row r="28" spans="2:30" x14ac:dyDescent="0.25">
      <c r="B28" s="11">
        <v>0.70833333333333337</v>
      </c>
      <c r="C28" s="49">
        <v>11</v>
      </c>
      <c r="D28" s="49">
        <v>0</v>
      </c>
      <c r="E28" s="49">
        <v>0</v>
      </c>
      <c r="F28" s="49">
        <v>11</v>
      </c>
      <c r="G28" s="49">
        <v>1</v>
      </c>
      <c r="H28" s="49">
        <v>0</v>
      </c>
      <c r="I28" s="49">
        <v>0</v>
      </c>
      <c r="J28" s="49">
        <v>1</v>
      </c>
      <c r="K28" s="49">
        <v>12</v>
      </c>
      <c r="L28" s="49">
        <v>126</v>
      </c>
      <c r="M28" s="49">
        <v>1</v>
      </c>
      <c r="N28" s="49">
        <v>0</v>
      </c>
      <c r="O28" s="49">
        <v>127</v>
      </c>
      <c r="P28" s="49">
        <v>17</v>
      </c>
      <c r="Q28" s="49">
        <v>0</v>
      </c>
      <c r="R28" s="49">
        <v>0</v>
      </c>
      <c r="S28" s="49">
        <v>17</v>
      </c>
      <c r="T28" s="49">
        <v>144</v>
      </c>
      <c r="U28" s="49">
        <v>6</v>
      </c>
      <c r="V28" s="49">
        <v>0</v>
      </c>
      <c r="W28" s="49">
        <v>0</v>
      </c>
      <c r="X28" s="49">
        <v>6</v>
      </c>
      <c r="Y28" s="49">
        <v>199</v>
      </c>
      <c r="Z28" s="49">
        <v>3</v>
      </c>
      <c r="AA28" s="49">
        <v>6</v>
      </c>
      <c r="AB28" s="49">
        <v>208</v>
      </c>
      <c r="AC28" s="49">
        <v>214</v>
      </c>
      <c r="AD28" s="49">
        <v>370</v>
      </c>
    </row>
    <row r="29" spans="2:30" x14ac:dyDescent="0.25">
      <c r="B29" s="11">
        <v>0.71875</v>
      </c>
      <c r="C29" s="49">
        <v>11</v>
      </c>
      <c r="D29" s="49">
        <v>0</v>
      </c>
      <c r="E29" s="49">
        <v>0</v>
      </c>
      <c r="F29" s="49">
        <v>11</v>
      </c>
      <c r="G29" s="49">
        <v>1</v>
      </c>
      <c r="H29" s="49">
        <v>0</v>
      </c>
      <c r="I29" s="49">
        <v>0</v>
      </c>
      <c r="J29" s="49">
        <v>1</v>
      </c>
      <c r="K29" s="49">
        <v>12</v>
      </c>
      <c r="L29" s="49">
        <v>115</v>
      </c>
      <c r="M29" s="49">
        <v>1</v>
      </c>
      <c r="N29" s="49">
        <v>0</v>
      </c>
      <c r="O29" s="49">
        <v>116</v>
      </c>
      <c r="P29" s="49">
        <v>16</v>
      </c>
      <c r="Q29" s="49">
        <v>0</v>
      </c>
      <c r="R29" s="49">
        <v>0</v>
      </c>
      <c r="S29" s="49">
        <v>16</v>
      </c>
      <c r="T29" s="49">
        <v>132</v>
      </c>
      <c r="U29" s="49">
        <v>6</v>
      </c>
      <c r="V29" s="49">
        <v>0</v>
      </c>
      <c r="W29" s="49">
        <v>0</v>
      </c>
      <c r="X29" s="49">
        <v>6</v>
      </c>
      <c r="Y29" s="49">
        <v>184</v>
      </c>
      <c r="Z29" s="49">
        <v>1</v>
      </c>
      <c r="AA29" s="49">
        <v>6</v>
      </c>
      <c r="AB29" s="49">
        <v>191</v>
      </c>
      <c r="AC29" s="49">
        <v>197</v>
      </c>
      <c r="AD29" s="49">
        <v>341</v>
      </c>
    </row>
    <row r="30" spans="2:30" x14ac:dyDescent="0.25">
      <c r="B30" s="11">
        <v>0.72916666666666663</v>
      </c>
      <c r="C30" s="49">
        <v>5</v>
      </c>
      <c r="D30" s="49">
        <v>0</v>
      </c>
      <c r="E30" s="49">
        <v>0</v>
      </c>
      <c r="F30" s="49">
        <v>5</v>
      </c>
      <c r="G30" s="49">
        <v>4</v>
      </c>
      <c r="H30" s="49">
        <v>0</v>
      </c>
      <c r="I30" s="49">
        <v>0</v>
      </c>
      <c r="J30" s="49">
        <v>4</v>
      </c>
      <c r="K30" s="49">
        <v>9</v>
      </c>
      <c r="L30" s="49">
        <v>95</v>
      </c>
      <c r="M30" s="49">
        <v>3</v>
      </c>
      <c r="N30" s="49">
        <v>0</v>
      </c>
      <c r="O30" s="49">
        <v>98</v>
      </c>
      <c r="P30" s="49">
        <v>9</v>
      </c>
      <c r="Q30" s="49">
        <v>0</v>
      </c>
      <c r="R30" s="49">
        <v>0</v>
      </c>
      <c r="S30" s="49">
        <v>9</v>
      </c>
      <c r="T30" s="49">
        <v>107</v>
      </c>
      <c r="U30" s="49">
        <v>4</v>
      </c>
      <c r="V30" s="49">
        <v>0</v>
      </c>
      <c r="W30" s="49">
        <v>0</v>
      </c>
      <c r="X30" s="49">
        <v>4</v>
      </c>
      <c r="Y30" s="49">
        <v>203</v>
      </c>
      <c r="Z30" s="49">
        <v>3</v>
      </c>
      <c r="AA30" s="49">
        <v>7</v>
      </c>
      <c r="AB30" s="49">
        <v>213</v>
      </c>
      <c r="AC30" s="49">
        <v>217</v>
      </c>
      <c r="AD30" s="49">
        <v>333</v>
      </c>
    </row>
    <row r="31" spans="2:30" x14ac:dyDescent="0.25">
      <c r="B31" s="11">
        <v>0.73958333333333337</v>
      </c>
      <c r="C31" s="49">
        <v>5</v>
      </c>
      <c r="D31" s="49">
        <v>0</v>
      </c>
      <c r="E31" s="49">
        <v>0</v>
      </c>
      <c r="F31" s="49">
        <v>5</v>
      </c>
      <c r="G31" s="49">
        <v>3</v>
      </c>
      <c r="H31" s="49">
        <v>0</v>
      </c>
      <c r="I31" s="49">
        <v>0</v>
      </c>
      <c r="J31" s="49">
        <v>3</v>
      </c>
      <c r="K31" s="49">
        <v>8</v>
      </c>
      <c r="L31" s="49">
        <v>100</v>
      </c>
      <c r="M31" s="49">
        <v>1</v>
      </c>
      <c r="N31" s="49">
        <v>3</v>
      </c>
      <c r="O31" s="49">
        <v>104</v>
      </c>
      <c r="P31" s="49">
        <v>10</v>
      </c>
      <c r="Q31" s="49">
        <v>0</v>
      </c>
      <c r="R31" s="49">
        <v>0</v>
      </c>
      <c r="S31" s="49">
        <v>10</v>
      </c>
      <c r="T31" s="49">
        <v>114</v>
      </c>
      <c r="U31" s="49">
        <v>4</v>
      </c>
      <c r="V31" s="49">
        <v>0</v>
      </c>
      <c r="W31" s="49">
        <v>0</v>
      </c>
      <c r="X31" s="49">
        <v>4</v>
      </c>
      <c r="Y31" s="49">
        <v>164</v>
      </c>
      <c r="Z31" s="49">
        <v>1</v>
      </c>
      <c r="AA31" s="49">
        <v>3</v>
      </c>
      <c r="AB31" s="49">
        <v>168</v>
      </c>
      <c r="AC31" s="49">
        <v>172</v>
      </c>
      <c r="AD31" s="49">
        <v>294</v>
      </c>
    </row>
    <row r="32" spans="2:30" x14ac:dyDescent="0.25">
      <c r="B32" s="10" t="s">
        <v>91</v>
      </c>
      <c r="C32" s="49">
        <v>17</v>
      </c>
      <c r="D32" s="49">
        <v>0</v>
      </c>
      <c r="E32" s="49">
        <v>0</v>
      </c>
      <c r="F32" s="49">
        <v>17</v>
      </c>
      <c r="G32" s="49">
        <v>13</v>
      </c>
      <c r="H32" s="49">
        <v>0</v>
      </c>
      <c r="I32" s="49">
        <v>0</v>
      </c>
      <c r="J32" s="49">
        <v>13</v>
      </c>
      <c r="K32" s="49">
        <v>30</v>
      </c>
      <c r="L32" s="49">
        <v>362</v>
      </c>
      <c r="M32" s="49">
        <v>20</v>
      </c>
      <c r="N32" s="49">
        <v>1</v>
      </c>
      <c r="O32" s="49">
        <v>383</v>
      </c>
      <c r="P32" s="49">
        <v>20</v>
      </c>
      <c r="Q32" s="49">
        <v>0</v>
      </c>
      <c r="R32" s="49">
        <v>0</v>
      </c>
      <c r="S32" s="49">
        <v>20</v>
      </c>
      <c r="T32" s="49">
        <v>403</v>
      </c>
      <c r="U32" s="49">
        <v>15</v>
      </c>
      <c r="V32" s="49">
        <v>0</v>
      </c>
      <c r="W32" s="49">
        <v>0</v>
      </c>
      <c r="X32" s="49">
        <v>15</v>
      </c>
      <c r="Y32" s="49">
        <v>492</v>
      </c>
      <c r="Z32" s="49">
        <v>14</v>
      </c>
      <c r="AA32" s="49">
        <v>2</v>
      </c>
      <c r="AB32" s="49">
        <v>508</v>
      </c>
      <c r="AC32" s="49">
        <v>523</v>
      </c>
      <c r="AD32" s="49">
        <v>956</v>
      </c>
    </row>
    <row r="33" spans="2:30" x14ac:dyDescent="0.25">
      <c r="B33" s="11">
        <v>0.54166666666666663</v>
      </c>
      <c r="C33" s="49">
        <v>3</v>
      </c>
      <c r="D33" s="49">
        <v>0</v>
      </c>
      <c r="E33" s="49">
        <v>0</v>
      </c>
      <c r="F33" s="49">
        <v>3</v>
      </c>
      <c r="G33" s="49">
        <v>2</v>
      </c>
      <c r="H33" s="49">
        <v>0</v>
      </c>
      <c r="I33" s="49">
        <v>0</v>
      </c>
      <c r="J33" s="49">
        <v>2</v>
      </c>
      <c r="K33" s="49">
        <v>5</v>
      </c>
      <c r="L33" s="49">
        <v>77</v>
      </c>
      <c r="M33" s="49">
        <v>3</v>
      </c>
      <c r="N33" s="49">
        <v>0</v>
      </c>
      <c r="O33" s="49">
        <v>80</v>
      </c>
      <c r="P33" s="49">
        <v>10</v>
      </c>
      <c r="Q33" s="49">
        <v>0</v>
      </c>
      <c r="R33" s="49">
        <v>0</v>
      </c>
      <c r="S33" s="49">
        <v>10</v>
      </c>
      <c r="T33" s="49">
        <v>90</v>
      </c>
      <c r="U33" s="49">
        <v>3</v>
      </c>
      <c r="V33" s="49">
        <v>0</v>
      </c>
      <c r="W33" s="49">
        <v>0</v>
      </c>
      <c r="X33" s="49">
        <v>3</v>
      </c>
      <c r="Y33" s="49">
        <v>121</v>
      </c>
      <c r="Z33" s="49">
        <v>2</v>
      </c>
      <c r="AA33" s="49">
        <v>0</v>
      </c>
      <c r="AB33" s="49">
        <v>123</v>
      </c>
      <c r="AC33" s="49">
        <v>126</v>
      </c>
      <c r="AD33" s="49">
        <v>221</v>
      </c>
    </row>
    <row r="34" spans="2:30" x14ac:dyDescent="0.25">
      <c r="B34" s="11">
        <v>0.55208333333333337</v>
      </c>
      <c r="C34" s="49">
        <v>3</v>
      </c>
      <c r="D34" s="49">
        <v>0</v>
      </c>
      <c r="E34" s="49">
        <v>0</v>
      </c>
      <c r="F34" s="49">
        <v>3</v>
      </c>
      <c r="G34" s="49">
        <v>4</v>
      </c>
      <c r="H34" s="49">
        <v>0</v>
      </c>
      <c r="I34" s="49">
        <v>0</v>
      </c>
      <c r="J34" s="49">
        <v>4</v>
      </c>
      <c r="K34" s="49">
        <v>7</v>
      </c>
      <c r="L34" s="49">
        <v>96</v>
      </c>
      <c r="M34" s="49">
        <v>7</v>
      </c>
      <c r="N34" s="49">
        <v>0</v>
      </c>
      <c r="O34" s="49">
        <v>103</v>
      </c>
      <c r="P34" s="49">
        <v>2</v>
      </c>
      <c r="Q34" s="49">
        <v>0</v>
      </c>
      <c r="R34" s="49">
        <v>0</v>
      </c>
      <c r="S34" s="49">
        <v>2</v>
      </c>
      <c r="T34" s="49">
        <v>105</v>
      </c>
      <c r="U34" s="49">
        <v>2</v>
      </c>
      <c r="V34" s="49">
        <v>0</v>
      </c>
      <c r="W34" s="49">
        <v>0</v>
      </c>
      <c r="X34" s="49">
        <v>2</v>
      </c>
      <c r="Y34" s="49">
        <v>131</v>
      </c>
      <c r="Z34" s="49">
        <v>5</v>
      </c>
      <c r="AA34" s="49">
        <v>0</v>
      </c>
      <c r="AB34" s="49">
        <v>136</v>
      </c>
      <c r="AC34" s="49">
        <v>138</v>
      </c>
      <c r="AD34" s="49">
        <v>250</v>
      </c>
    </row>
    <row r="35" spans="2:30" x14ac:dyDescent="0.25">
      <c r="B35" s="11">
        <v>0.5625</v>
      </c>
      <c r="C35" s="49">
        <v>4</v>
      </c>
      <c r="D35" s="49">
        <v>0</v>
      </c>
      <c r="E35" s="49">
        <v>0</v>
      </c>
      <c r="F35" s="49">
        <v>4</v>
      </c>
      <c r="G35" s="49">
        <v>5</v>
      </c>
      <c r="H35" s="49">
        <v>0</v>
      </c>
      <c r="I35" s="49">
        <v>0</v>
      </c>
      <c r="J35" s="49">
        <v>5</v>
      </c>
      <c r="K35" s="49">
        <v>9</v>
      </c>
      <c r="L35" s="49">
        <v>90</v>
      </c>
      <c r="M35" s="49">
        <v>8</v>
      </c>
      <c r="N35" s="49">
        <v>0</v>
      </c>
      <c r="O35" s="49">
        <v>98</v>
      </c>
      <c r="P35" s="49">
        <v>6</v>
      </c>
      <c r="Q35" s="49">
        <v>0</v>
      </c>
      <c r="R35" s="49">
        <v>0</v>
      </c>
      <c r="S35" s="49">
        <v>6</v>
      </c>
      <c r="T35" s="49">
        <v>104</v>
      </c>
      <c r="U35" s="49">
        <v>6</v>
      </c>
      <c r="V35" s="49">
        <v>0</v>
      </c>
      <c r="W35" s="49">
        <v>0</v>
      </c>
      <c r="X35" s="49">
        <v>6</v>
      </c>
      <c r="Y35" s="49">
        <v>122</v>
      </c>
      <c r="Z35" s="49">
        <v>4</v>
      </c>
      <c r="AA35" s="49">
        <v>0</v>
      </c>
      <c r="AB35" s="49">
        <v>126</v>
      </c>
      <c r="AC35" s="49">
        <v>132</v>
      </c>
      <c r="AD35" s="49">
        <v>245</v>
      </c>
    </row>
    <row r="36" spans="2:30" x14ac:dyDescent="0.25">
      <c r="B36" s="11">
        <v>0.57291666666666663</v>
      </c>
      <c r="C36" s="49">
        <v>7</v>
      </c>
      <c r="D36" s="49">
        <v>0</v>
      </c>
      <c r="E36" s="49">
        <v>0</v>
      </c>
      <c r="F36" s="49">
        <v>7</v>
      </c>
      <c r="G36" s="49">
        <v>2</v>
      </c>
      <c r="H36" s="49">
        <v>0</v>
      </c>
      <c r="I36" s="49">
        <v>0</v>
      </c>
      <c r="J36" s="49">
        <v>2</v>
      </c>
      <c r="K36" s="49">
        <v>9</v>
      </c>
      <c r="L36" s="49">
        <v>99</v>
      </c>
      <c r="M36" s="49">
        <v>2</v>
      </c>
      <c r="N36" s="49">
        <v>1</v>
      </c>
      <c r="O36" s="49">
        <v>102</v>
      </c>
      <c r="P36" s="49">
        <v>2</v>
      </c>
      <c r="Q36" s="49">
        <v>0</v>
      </c>
      <c r="R36" s="49">
        <v>0</v>
      </c>
      <c r="S36" s="49">
        <v>2</v>
      </c>
      <c r="T36" s="49">
        <v>104</v>
      </c>
      <c r="U36" s="49">
        <v>4</v>
      </c>
      <c r="V36" s="49">
        <v>0</v>
      </c>
      <c r="W36" s="49">
        <v>0</v>
      </c>
      <c r="X36" s="49">
        <v>4</v>
      </c>
      <c r="Y36" s="49">
        <v>118</v>
      </c>
      <c r="Z36" s="49">
        <v>3</v>
      </c>
      <c r="AA36" s="49">
        <v>2</v>
      </c>
      <c r="AB36" s="49">
        <v>123</v>
      </c>
      <c r="AC36" s="49">
        <v>127</v>
      </c>
      <c r="AD36" s="49">
        <v>240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1326</v>
      </c>
      <c r="I5">
        <f>MAX(I11:I303)</f>
        <v>956</v>
      </c>
      <c r="J5">
        <f>MAX(J11:J303)</f>
        <v>1449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1326 vehicles between 07:45 and 08:45</v>
      </c>
      <c r="I8" s="6" t="str">
        <f>IF(I5=0,"","The peak hour for " &amp;I10&amp;" is "&amp;I5&amp;" vehicles between " &amp; TEXT(I6, "hh:mm")&amp; " and " &amp;TEXT(I7,"hh:mm"))</f>
        <v>The peak hour for INT is 956 vehicles between 13:00 and 14:00</v>
      </c>
      <c r="J8" s="6" t="str">
        <f>IF(J5=0,"","The peak hour for " &amp;J10&amp;" is "&amp;J5&amp;" vehicles between " &amp; TEXT(J6, "hh:mm")&amp; " and " &amp;TEXT(J7,"hh:mm"))</f>
        <v>The peak hour for PM is 1449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260</v>
      </c>
      <c r="C11" s="49"/>
      <c r="D11" s="49"/>
      <c r="G11" s="7">
        <f>A11</f>
        <v>0.29166666666666669</v>
      </c>
      <c r="H11">
        <f>IF(B11&lt;&gt;0,SUMIF($G$11:$G11,"&gt;"&amp;$G11-1/24,B$11:B11),0)</f>
        <v>260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260</v>
      </c>
      <c r="Q11">
        <f>P11*L11</f>
        <v>0</v>
      </c>
      <c r="S11" s="9">
        <v>0.29166666666666669</v>
      </c>
      <c r="T11" s="49">
        <v>260</v>
      </c>
      <c r="U11" s="49">
        <v>0</v>
      </c>
    </row>
    <row r="12" spans="1:21" x14ac:dyDescent="0.25">
      <c r="A12" s="9">
        <v>0.30208333333333331</v>
      </c>
      <c r="B12" s="49">
        <v>244</v>
      </c>
      <c r="C12" s="49"/>
      <c r="D12" s="49"/>
      <c r="G12" s="7">
        <f t="shared" ref="G12:G26" si="3">A12</f>
        <v>0.30208333333333331</v>
      </c>
      <c r="H12">
        <f>IF(B12&lt;&gt;0,SUMIF($G$11:$G12,"&gt;"&amp;$G12-1/24,B$11:B12),0)</f>
        <v>504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244</v>
      </c>
      <c r="Q12">
        <f t="shared" ref="Q12:Q75" si="7">P12*L12</f>
        <v>0</v>
      </c>
      <c r="S12" s="9">
        <v>0.30208333333333331</v>
      </c>
      <c r="T12" s="49">
        <v>244</v>
      </c>
      <c r="U12" s="49">
        <v>0</v>
      </c>
    </row>
    <row r="13" spans="1:21" x14ac:dyDescent="0.25">
      <c r="A13" s="9">
        <v>0.3125</v>
      </c>
      <c r="B13" s="49">
        <v>294</v>
      </c>
      <c r="C13" s="49"/>
      <c r="D13" s="49"/>
      <c r="G13" s="7">
        <f t="shared" si="3"/>
        <v>0.3125</v>
      </c>
      <c r="H13">
        <f>IF(B13&lt;&gt;0,SUMIF($G$11:$G13,"&gt;"&amp;$G13-1/24,B$11:B13),0)</f>
        <v>798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294</v>
      </c>
      <c r="Q13">
        <f t="shared" si="7"/>
        <v>0</v>
      </c>
      <c r="S13" s="9">
        <v>0.3125</v>
      </c>
      <c r="T13" s="49">
        <v>294</v>
      </c>
      <c r="U13" s="49">
        <v>0</v>
      </c>
    </row>
    <row r="14" spans="1:21" x14ac:dyDescent="0.25">
      <c r="A14" s="9">
        <v>0.32291666666666669</v>
      </c>
      <c r="B14" s="49">
        <v>327</v>
      </c>
      <c r="C14" s="49"/>
      <c r="D14" s="49"/>
      <c r="G14" s="7">
        <f t="shared" si="3"/>
        <v>0.32291666666666669</v>
      </c>
      <c r="H14">
        <f>IF(B14&lt;&gt;0,SUMIF($G$11:$G14,"&gt;"&amp;$G14-1/24,B$11:B14),0)</f>
        <v>1125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327</v>
      </c>
      <c r="Q14">
        <f t="shared" si="7"/>
        <v>327</v>
      </c>
      <c r="S14" s="9">
        <v>0.32291666666666669</v>
      </c>
      <c r="T14" s="49">
        <v>327</v>
      </c>
      <c r="U14" s="49">
        <v>327</v>
      </c>
    </row>
    <row r="15" spans="1:21" x14ac:dyDescent="0.25">
      <c r="A15" s="9">
        <v>0.33333333333333331</v>
      </c>
      <c r="B15" s="49">
        <v>325</v>
      </c>
      <c r="C15" s="49"/>
      <c r="D15" s="49"/>
      <c r="G15" s="7">
        <f t="shared" si="3"/>
        <v>0.33333333333333331</v>
      </c>
      <c r="H15">
        <f>IF(B15&lt;&gt;0,SUMIF($G$11:$G15,"&gt;"&amp;$G15-1/24,B$11:B15),0)</f>
        <v>1190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325</v>
      </c>
      <c r="Q15">
        <f t="shared" si="7"/>
        <v>325</v>
      </c>
      <c r="S15" s="9">
        <v>0.33333333333333331</v>
      </c>
      <c r="T15" s="49">
        <v>325</v>
      </c>
      <c r="U15" s="49">
        <v>325</v>
      </c>
    </row>
    <row r="16" spans="1:21" x14ac:dyDescent="0.25">
      <c r="A16" s="9">
        <v>0.34375</v>
      </c>
      <c r="B16" s="49">
        <v>308</v>
      </c>
      <c r="C16" s="49"/>
      <c r="D16" s="49"/>
      <c r="G16" s="7">
        <f t="shared" si="3"/>
        <v>0.34375</v>
      </c>
      <c r="H16">
        <f>IF(B16&lt;&gt;0,SUMIF($G$11:$G16,"&gt;"&amp;$G16-1/24,B$11:B16),0)</f>
        <v>1254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308</v>
      </c>
      <c r="Q16">
        <f t="shared" si="7"/>
        <v>308</v>
      </c>
      <c r="S16" s="9">
        <v>0.34375</v>
      </c>
      <c r="T16" s="49">
        <v>308</v>
      </c>
      <c r="U16" s="49">
        <v>308</v>
      </c>
    </row>
    <row r="17" spans="1:21" x14ac:dyDescent="0.25">
      <c r="A17" s="9">
        <v>0.35416666666666669</v>
      </c>
      <c r="B17" s="49">
        <v>366</v>
      </c>
      <c r="C17" s="49"/>
      <c r="D17" s="49"/>
      <c r="G17" s="7">
        <f t="shared" si="3"/>
        <v>0.35416666666666669</v>
      </c>
      <c r="H17">
        <f>IF(B17&lt;&gt;0,SUMIF($G$11:$G17,"&gt;"&amp;$G17-1/24,B$11:B17),0)</f>
        <v>1326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366</v>
      </c>
      <c r="Q17">
        <f t="shared" si="7"/>
        <v>366</v>
      </c>
      <c r="S17" s="9">
        <v>0.35416666666666669</v>
      </c>
      <c r="T17" s="49">
        <v>366</v>
      </c>
      <c r="U17" s="49">
        <v>366</v>
      </c>
    </row>
    <row r="18" spans="1:21" x14ac:dyDescent="0.25">
      <c r="A18" s="9">
        <v>0.36458333333333331</v>
      </c>
      <c r="B18" s="49">
        <v>280</v>
      </c>
      <c r="C18" s="49"/>
      <c r="D18" s="49"/>
      <c r="G18" s="7">
        <f t="shared" si="3"/>
        <v>0.36458333333333331</v>
      </c>
      <c r="H18">
        <f>IF(B18&lt;&gt;0,SUMIF($G$11:$G18,"&gt;"&amp;$G18-1/24,B$11:B18),0)</f>
        <v>1279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280</v>
      </c>
      <c r="Q18">
        <f t="shared" si="7"/>
        <v>0</v>
      </c>
      <c r="S18" s="9">
        <v>0.36458333333333331</v>
      </c>
      <c r="T18" s="49">
        <v>280</v>
      </c>
      <c r="U18" s="49">
        <v>0</v>
      </c>
    </row>
    <row r="19" spans="1:21" x14ac:dyDescent="0.25">
      <c r="A19" s="9">
        <v>0.54166666666666663</v>
      </c>
      <c r="B19" s="49"/>
      <c r="C19" s="49">
        <v>221</v>
      </c>
      <c r="D19" s="49"/>
      <c r="G19" s="7">
        <f t="shared" si="3"/>
        <v>0.54166666666666663</v>
      </c>
      <c r="H19">
        <f>IF(B19&lt;&gt;0,SUMIF($G$11:$G19,"&gt;"&amp;$G19-1/24,B$11:B19),0)</f>
        <v>0</v>
      </c>
      <c r="I19">
        <f>IF(C19&lt;&gt;0,SUMIF($G$11:$G19,"&gt;"&amp;$G19-1/24,C$11:C19),0)</f>
        <v>221</v>
      </c>
      <c r="J19">
        <f>IF(D19&lt;&gt;0,SUMIF($G$11:$G19,"&gt;"&amp;$G19-1/24,D$11:D19),0)</f>
        <v>0</v>
      </c>
      <c r="K19">
        <f>IF(E19&lt;&gt;0,SUMIF($G$11:$G19,"&gt;"&amp;$G19-1/24,E$11:E19),0)</f>
        <v>0</v>
      </c>
      <c r="L19">
        <f t="shared" si="4"/>
        <v>1</v>
      </c>
      <c r="N19" t="str">
        <f t="shared" si="5"/>
        <v>INT</v>
      </c>
      <c r="O19" s="7">
        <f t="shared" si="2"/>
        <v>0.54166666666666663</v>
      </c>
      <c r="P19">
        <f t="shared" si="6"/>
        <v>221</v>
      </c>
      <c r="Q19">
        <f t="shared" si="7"/>
        <v>221</v>
      </c>
      <c r="S19" s="9" t="s">
        <v>49</v>
      </c>
      <c r="T19" s="49">
        <v>2404</v>
      </c>
      <c r="U19" s="49">
        <v>1326</v>
      </c>
    </row>
    <row r="20" spans="1:21" x14ac:dyDescent="0.25">
      <c r="A20" s="9">
        <v>0.55208333333333337</v>
      </c>
      <c r="B20" s="49"/>
      <c r="C20" s="49">
        <v>250</v>
      </c>
      <c r="D20" s="49"/>
      <c r="G20" s="7">
        <f t="shared" si="3"/>
        <v>0.55208333333333337</v>
      </c>
      <c r="H20">
        <f>IF(B20&lt;&gt;0,SUMIF($G$11:$G20,"&gt;"&amp;$G20-1/24,B$11:B20),0)</f>
        <v>0</v>
      </c>
      <c r="I20">
        <f>IF(C20&lt;&gt;0,SUMIF($G$11:$G20,"&gt;"&amp;$G20-1/24,C$11:C20),0)</f>
        <v>471</v>
      </c>
      <c r="J20">
        <f>IF(D20&lt;&gt;0,SUMIF($G$11:$G20,"&gt;"&amp;$G20-1/24,D$11:D20),0)</f>
        <v>0</v>
      </c>
      <c r="K20">
        <f>IF(E20&lt;&gt;0,SUMIF($G$11:$G20,"&gt;"&amp;$G20-1/24,E$11:E20),0)</f>
        <v>0</v>
      </c>
      <c r="L20">
        <f t="shared" si="4"/>
        <v>1</v>
      </c>
      <c r="N20" t="str">
        <f t="shared" si="5"/>
        <v>INT</v>
      </c>
      <c r="O20" s="7">
        <f t="shared" si="2"/>
        <v>0.55208333333333337</v>
      </c>
      <c r="P20">
        <f t="shared" si="6"/>
        <v>250</v>
      </c>
      <c r="Q20">
        <f t="shared" si="7"/>
        <v>250</v>
      </c>
    </row>
    <row r="21" spans="1:21" x14ac:dyDescent="0.25">
      <c r="A21" s="9">
        <v>0.5625</v>
      </c>
      <c r="B21" s="49"/>
      <c r="C21" s="49">
        <v>245</v>
      </c>
      <c r="D21" s="49"/>
      <c r="G21" s="7">
        <f t="shared" si="3"/>
        <v>0.5625</v>
      </c>
      <c r="H21">
        <f>IF(B21&lt;&gt;0,SUMIF($G$11:$G21,"&gt;"&amp;$G21-1/24,B$11:B21),0)</f>
        <v>0</v>
      </c>
      <c r="I21">
        <f>IF(C21&lt;&gt;0,SUMIF($G$11:$G21,"&gt;"&amp;$G21-1/24,C$11:C21),0)</f>
        <v>716</v>
      </c>
      <c r="J21">
        <f>IF(D21&lt;&gt;0,SUMIF($G$11:$G21,"&gt;"&amp;$G21-1/24,D$11:D21),0)</f>
        <v>0</v>
      </c>
      <c r="K21">
        <f>IF(E21&lt;&gt;0,SUMIF($G$11:$G21,"&gt;"&amp;$G21-1/24,E$11:E21),0)</f>
        <v>0</v>
      </c>
      <c r="L21">
        <f t="shared" si="4"/>
        <v>1</v>
      </c>
      <c r="N21" t="str">
        <f t="shared" si="5"/>
        <v>INT</v>
      </c>
      <c r="O21" s="7">
        <f t="shared" si="2"/>
        <v>0.5625</v>
      </c>
      <c r="P21">
        <f t="shared" si="6"/>
        <v>245</v>
      </c>
      <c r="Q21">
        <f t="shared" si="7"/>
        <v>245</v>
      </c>
    </row>
    <row r="22" spans="1:21" x14ac:dyDescent="0.25">
      <c r="A22" s="9">
        <v>0.57291666666666663</v>
      </c>
      <c r="B22" s="49"/>
      <c r="C22" s="49">
        <v>240</v>
      </c>
      <c r="D22" s="49"/>
      <c r="G22" s="7">
        <f t="shared" si="3"/>
        <v>0.57291666666666663</v>
      </c>
      <c r="H22">
        <f>IF(B22&lt;&gt;0,SUMIF($G$11:$G22,"&gt;"&amp;$G22-1/24,B$11:B22),0)</f>
        <v>0</v>
      </c>
      <c r="I22">
        <f>IF(C22&lt;&gt;0,SUMIF($G$11:$G22,"&gt;"&amp;$G22-1/24,C$11:C22),0)</f>
        <v>956</v>
      </c>
      <c r="J22">
        <f>IF(D22&lt;&gt;0,SUMIF($G$11:$G22,"&gt;"&amp;$G22-1/24,D$11:D22),0)</f>
        <v>0</v>
      </c>
      <c r="K22">
        <f>IF(E22&lt;&gt;0,SUMIF($G$11:$G22,"&gt;"&amp;$G22-1/24,E$11:E22),0)</f>
        <v>0</v>
      </c>
      <c r="L22">
        <f t="shared" si="4"/>
        <v>1</v>
      </c>
      <c r="N22" t="str">
        <f t="shared" si="5"/>
        <v>INT</v>
      </c>
      <c r="O22" s="7">
        <f t="shared" si="2"/>
        <v>0.57291666666666663</v>
      </c>
      <c r="P22">
        <f t="shared" si="6"/>
        <v>240</v>
      </c>
      <c r="Q22">
        <f t="shared" si="7"/>
        <v>240</v>
      </c>
    </row>
    <row r="23" spans="1:21" x14ac:dyDescent="0.25">
      <c r="A23" s="9">
        <v>0.66666666666666663</v>
      </c>
      <c r="B23" s="49"/>
      <c r="C23" s="49"/>
      <c r="D23" s="49">
        <v>326</v>
      </c>
      <c r="G23" s="7">
        <f t="shared" si="3"/>
        <v>0.66666666666666663</v>
      </c>
      <c r="H23">
        <f>IF(B23&lt;&gt;0,SUMIF($G$11:$G23,"&gt;"&amp;$G23-1/24,B$11:B23),0)</f>
        <v>0</v>
      </c>
      <c r="I23">
        <f>IF(C23&lt;&gt;0,SUMIF($G$11:$G23,"&gt;"&amp;$G23-1/24,C$11:C23),0)</f>
        <v>0</v>
      </c>
      <c r="J23">
        <f>IF(D23&lt;&gt;0,SUMIF($G$11:$G23,"&gt;"&amp;$G23-1/24,D$11:D23),0)</f>
        <v>326</v>
      </c>
      <c r="K23">
        <f>IF(E23&lt;&gt;0,SUMIF($G$11:$G23,"&gt;"&amp;$G23-1/24,E$11:E23),0)</f>
        <v>0</v>
      </c>
      <c r="L23">
        <f t="shared" si="4"/>
        <v>0</v>
      </c>
      <c r="N23" t="str">
        <f t="shared" si="5"/>
        <v>PM</v>
      </c>
      <c r="O23" s="7">
        <f t="shared" si="2"/>
        <v>0.66666666666666663</v>
      </c>
      <c r="P23">
        <f t="shared" si="6"/>
        <v>326</v>
      </c>
      <c r="Q23">
        <f t="shared" si="7"/>
        <v>0</v>
      </c>
    </row>
    <row r="24" spans="1:21" x14ac:dyDescent="0.25">
      <c r="A24" s="9">
        <v>0.67708333333333337</v>
      </c>
      <c r="B24" s="49"/>
      <c r="C24" s="49"/>
      <c r="D24" s="49">
        <v>337</v>
      </c>
      <c r="G24" s="7">
        <f t="shared" si="3"/>
        <v>0.67708333333333337</v>
      </c>
      <c r="H24">
        <f>IF(B24&lt;&gt;0,SUMIF($G$11:$G24,"&gt;"&amp;$G24-1/24,B$11:B24),0)</f>
        <v>0</v>
      </c>
      <c r="I24">
        <f>IF(C24&lt;&gt;0,SUMIF($G$11:$G24,"&gt;"&amp;$G24-1/24,C$11:C24),0)</f>
        <v>0</v>
      </c>
      <c r="J24">
        <f>IF(D24&lt;&gt;0,SUMIF($G$11:$G24,"&gt;"&amp;$G24-1/24,D$11:D24),0)</f>
        <v>663</v>
      </c>
      <c r="K24">
        <f>IF(E24&lt;&gt;0,SUMIF($G$11:$G24,"&gt;"&amp;$G24-1/24,E$11:E24),0)</f>
        <v>0</v>
      </c>
      <c r="L24">
        <f t="shared" si="4"/>
        <v>0</v>
      </c>
      <c r="N24" t="str">
        <f t="shared" si="5"/>
        <v>PM</v>
      </c>
      <c r="O24" s="7">
        <f t="shared" si="2"/>
        <v>0.67708333333333337</v>
      </c>
      <c r="P24">
        <f t="shared" si="6"/>
        <v>337</v>
      </c>
      <c r="Q24">
        <f t="shared" si="7"/>
        <v>0</v>
      </c>
    </row>
    <row r="25" spans="1:21" x14ac:dyDescent="0.25">
      <c r="A25" s="9">
        <v>0.6875</v>
      </c>
      <c r="B25" s="49"/>
      <c r="C25" s="49"/>
      <c r="D25" s="49">
        <v>379</v>
      </c>
      <c r="G25" s="7">
        <f t="shared" si="3"/>
        <v>0.6875</v>
      </c>
      <c r="H25">
        <f>IF(B25&lt;&gt;0,SUMIF($G$11:$G25,"&gt;"&amp;$G25-1/24,B$11:B25),0)</f>
        <v>0</v>
      </c>
      <c r="I25">
        <f>IF(C25&lt;&gt;0,SUMIF($G$11:$G25,"&gt;"&amp;$G25-1/24,C$11:C25),0)</f>
        <v>0</v>
      </c>
      <c r="J25">
        <f>IF(D25&lt;&gt;0,SUMIF($G$11:$G25,"&gt;"&amp;$G25-1/24,D$11:D25),0)</f>
        <v>1042</v>
      </c>
      <c r="K25">
        <f>IF(E25&lt;&gt;0,SUMIF($G$11:$G25,"&gt;"&amp;$G25-1/24,E$11:E25),0)</f>
        <v>0</v>
      </c>
      <c r="L25">
        <f t="shared" si="4"/>
        <v>1</v>
      </c>
      <c r="N25" t="str">
        <f t="shared" si="5"/>
        <v>PM</v>
      </c>
      <c r="O25" s="7">
        <f t="shared" si="2"/>
        <v>0.6875</v>
      </c>
      <c r="P25">
        <f t="shared" si="6"/>
        <v>379</v>
      </c>
      <c r="Q25">
        <f t="shared" si="7"/>
        <v>379</v>
      </c>
    </row>
    <row r="26" spans="1:21" x14ac:dyDescent="0.25">
      <c r="A26" s="9">
        <v>0.69791666666666663</v>
      </c>
      <c r="B26" s="49"/>
      <c r="C26" s="49"/>
      <c r="D26" s="49">
        <v>359</v>
      </c>
      <c r="G26" s="7">
        <f t="shared" si="3"/>
        <v>0.69791666666666663</v>
      </c>
      <c r="H26">
        <f>IF(B26&lt;&gt;0,SUMIF($G$11:$G26,"&gt;"&amp;$G26-1/24,B$11:B26),0)</f>
        <v>0</v>
      </c>
      <c r="I26">
        <f>IF(C26&lt;&gt;0,SUMIF($G$11:$G26,"&gt;"&amp;$G26-1/24,C$11:C26),0)</f>
        <v>0</v>
      </c>
      <c r="J26">
        <f>IF(D26&lt;&gt;0,SUMIF($G$11:$G26,"&gt;"&amp;$G26-1/24,D$11:D26),0)</f>
        <v>1401</v>
      </c>
      <c r="K26">
        <f>IF(E26&lt;&gt;0,SUMIF($G$11:$G26,"&gt;"&amp;$G26-1/24,E$11:E26),0)</f>
        <v>0</v>
      </c>
      <c r="L26">
        <f t="shared" si="4"/>
        <v>1</v>
      </c>
      <c r="N26" t="str">
        <f t="shared" si="5"/>
        <v>PM</v>
      </c>
      <c r="O26" s="7">
        <f t="shared" si="2"/>
        <v>0.69791666666666663</v>
      </c>
      <c r="P26">
        <f t="shared" si="6"/>
        <v>359</v>
      </c>
      <c r="Q26">
        <f t="shared" si="7"/>
        <v>359</v>
      </c>
    </row>
    <row r="27" spans="1:21" x14ac:dyDescent="0.25">
      <c r="A27" s="9">
        <v>0.70833333333333337</v>
      </c>
      <c r="B27" s="49"/>
      <c r="C27" s="49"/>
      <c r="D27" s="49">
        <v>370</v>
      </c>
      <c r="G27" s="7">
        <f t="shared" ref="G27:G90" si="8">A27</f>
        <v>0.70833333333333337</v>
      </c>
      <c r="H27">
        <f>IF(B27&lt;&gt;0,SUMIF($G$11:$G27,"&gt;"&amp;$G27-1/24,B$11:B27),0)</f>
        <v>0</v>
      </c>
      <c r="I27">
        <f>IF(C27&lt;&gt;0,SUMIF($G$11:$G27,"&gt;"&amp;$G27-1/24,C$11:C27),0)</f>
        <v>0</v>
      </c>
      <c r="J27">
        <f>IF(D27&lt;&gt;0,SUMIF($G$11:$G27,"&gt;"&amp;$G27-1/24,D$11:D27),0)</f>
        <v>1445</v>
      </c>
      <c r="K27">
        <f>IF(E27&lt;&gt;0,SUMIF($G$11:$G27,"&gt;"&amp;$G27-1/24,E$11:E27),0)</f>
        <v>0</v>
      </c>
      <c r="L27">
        <f t="shared" si="4"/>
        <v>1</v>
      </c>
      <c r="N27" t="str">
        <f t="shared" si="5"/>
        <v>PM</v>
      </c>
      <c r="O27" s="7">
        <f t="shared" si="2"/>
        <v>0.70833333333333337</v>
      </c>
      <c r="P27">
        <f t="shared" si="6"/>
        <v>370</v>
      </c>
      <c r="Q27">
        <f t="shared" si="7"/>
        <v>370</v>
      </c>
    </row>
    <row r="28" spans="1:21" x14ac:dyDescent="0.25">
      <c r="A28" s="9">
        <v>0.71875</v>
      </c>
      <c r="B28" s="49"/>
      <c r="C28" s="49"/>
      <c r="D28" s="49">
        <v>341</v>
      </c>
      <c r="G28" s="7">
        <f t="shared" si="8"/>
        <v>0.71875</v>
      </c>
      <c r="H28">
        <f>IF(B28&lt;&gt;0,SUMIF($G$11:$G28,"&gt;"&amp;$G28-1/24,B$11:B28),0)</f>
        <v>0</v>
      </c>
      <c r="I28">
        <f>IF(C28&lt;&gt;0,SUMIF($G$11:$G28,"&gt;"&amp;$G28-1/24,C$11:C28),0)</f>
        <v>0</v>
      </c>
      <c r="J28">
        <f>IF(D28&lt;&gt;0,SUMIF($G$11:$G28,"&gt;"&amp;$G28-1/24,D$11:D28),0)</f>
        <v>1449</v>
      </c>
      <c r="K28">
        <f>IF(E28&lt;&gt;0,SUMIF($G$11:$G28,"&gt;"&amp;$G28-1/24,E$11:E28),0)</f>
        <v>0</v>
      </c>
      <c r="L28">
        <f t="shared" si="4"/>
        <v>1</v>
      </c>
      <c r="N28" t="str">
        <f t="shared" si="5"/>
        <v>PM</v>
      </c>
      <c r="O28" s="7">
        <f t="shared" si="2"/>
        <v>0.71875</v>
      </c>
      <c r="P28">
        <f t="shared" si="6"/>
        <v>341</v>
      </c>
      <c r="Q28">
        <f t="shared" si="7"/>
        <v>341</v>
      </c>
    </row>
    <row r="29" spans="1:21" x14ac:dyDescent="0.25">
      <c r="A29" s="9">
        <v>0.72916666666666663</v>
      </c>
      <c r="B29" s="49"/>
      <c r="C29" s="49"/>
      <c r="D29" s="49">
        <v>333</v>
      </c>
      <c r="G29" s="7">
        <f t="shared" si="8"/>
        <v>0.72916666666666663</v>
      </c>
      <c r="H29">
        <f>IF(B29&lt;&gt;0,SUMIF($G$11:$G29,"&gt;"&amp;$G29-1/24,B$11:B29),0)</f>
        <v>0</v>
      </c>
      <c r="I29">
        <f>IF(C29&lt;&gt;0,SUMIF($G$11:$G29,"&gt;"&amp;$G29-1/24,C$11:C29),0)</f>
        <v>0</v>
      </c>
      <c r="J29">
        <f>IF(D29&lt;&gt;0,SUMIF($G$11:$G29,"&gt;"&amp;$G29-1/24,D$11:D29),0)</f>
        <v>1403</v>
      </c>
      <c r="K29">
        <f>IF(E29&lt;&gt;0,SUMIF($G$11:$G29,"&gt;"&amp;$G29-1/24,E$11:E29),0)</f>
        <v>0</v>
      </c>
      <c r="L29">
        <f t="shared" si="4"/>
        <v>0</v>
      </c>
      <c r="N29" t="str">
        <f t="shared" si="5"/>
        <v>PM</v>
      </c>
      <c r="O29" s="7">
        <f t="shared" si="2"/>
        <v>0.72916666666666663</v>
      </c>
      <c r="P29">
        <f t="shared" si="6"/>
        <v>333</v>
      </c>
      <c r="Q29">
        <f t="shared" si="7"/>
        <v>0</v>
      </c>
    </row>
    <row r="30" spans="1:21" x14ac:dyDescent="0.25">
      <c r="A30" s="9">
        <v>0.73958333333333337</v>
      </c>
      <c r="B30" s="49"/>
      <c r="C30" s="49"/>
      <c r="D30" s="49">
        <v>294</v>
      </c>
      <c r="G30" s="7">
        <f t="shared" si="8"/>
        <v>0.73958333333333337</v>
      </c>
      <c r="H30">
        <f>IF(B30&lt;&gt;0,SUMIF($G$11:$G30,"&gt;"&amp;$G30-1/24,B$11:B30),0)</f>
        <v>0</v>
      </c>
      <c r="I30">
        <f>IF(C30&lt;&gt;0,SUMIF($G$11:$G30,"&gt;"&amp;$G30-1/24,C$11:C30),0)</f>
        <v>0</v>
      </c>
      <c r="J30">
        <f>IF(D30&lt;&gt;0,SUMIF($G$11:$G30,"&gt;"&amp;$G30-1/24,D$11:D30),0)</f>
        <v>1338</v>
      </c>
      <c r="K30">
        <f>IF(E30&lt;&gt;0,SUMIF($G$11:$G30,"&gt;"&amp;$G30-1/24,E$11:E30),0)</f>
        <v>0</v>
      </c>
      <c r="L30">
        <f t="shared" si="4"/>
        <v>0</v>
      </c>
      <c r="N30" t="str">
        <f t="shared" si="5"/>
        <v>PM</v>
      </c>
      <c r="O30" s="7">
        <f t="shared" si="2"/>
        <v>0.73958333333333337</v>
      </c>
      <c r="P30">
        <f t="shared" si="6"/>
        <v>294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260</v>
      </c>
      <c r="E5" t="str">
        <f>"Vehicle Count by Exit Leg for "&amp;C2&amp;" Period"</f>
        <v>Vehicle Count by Exit Leg for AM Period</v>
      </c>
    </row>
    <row r="6" spans="2:5" x14ac:dyDescent="0.25">
      <c r="B6" s="9">
        <v>0.30208333333333331</v>
      </c>
      <c r="C6" s="49">
        <v>244</v>
      </c>
    </row>
    <row r="7" spans="2:5" x14ac:dyDescent="0.25">
      <c r="B7" s="9">
        <v>0.3125</v>
      </c>
      <c r="C7" s="49">
        <v>294</v>
      </c>
    </row>
    <row r="8" spans="2:5" x14ac:dyDescent="0.25">
      <c r="B8" s="9">
        <v>0.32291666666666669</v>
      </c>
      <c r="C8" s="49">
        <v>327</v>
      </c>
    </row>
    <row r="9" spans="2:5" x14ac:dyDescent="0.25">
      <c r="B9" s="9">
        <v>0.33333333333333331</v>
      </c>
      <c r="C9" s="49">
        <v>325</v>
      </c>
    </row>
    <row r="10" spans="2:5" x14ac:dyDescent="0.25">
      <c r="B10" s="9">
        <v>0.34375</v>
      </c>
      <c r="C10" s="49">
        <v>308</v>
      </c>
    </row>
    <row r="11" spans="2:5" x14ac:dyDescent="0.25">
      <c r="B11" s="9">
        <v>0.35416666666666669</v>
      </c>
      <c r="C11" s="49">
        <v>366</v>
      </c>
    </row>
    <row r="12" spans="2:5" x14ac:dyDescent="0.25">
      <c r="B12" s="9">
        <v>0.36458333333333331</v>
      </c>
      <c r="C12" s="49">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28515625" bestFit="1" customWidth="1"/>
    <col min="12" max="12" width="16.42578125" bestFit="1" customWidth="1"/>
    <col min="13" max="13" width="10.5703125" bestFit="1" customWidth="1"/>
    <col min="14" max="14" width="8.28515625" customWidth="1"/>
    <col min="15" max="15" width="5.5703125" customWidth="1"/>
    <col min="16" max="18" width="3.28515625" customWidth="1"/>
    <col min="19" max="19" width="11.28515625" bestFit="1" customWidth="1"/>
    <col min="20" max="20" width="15.28515625" bestFit="1" customWidth="1"/>
    <col min="21" max="21" width="16.42578125" bestFit="1" customWidth="1"/>
    <col min="22" max="22" width="10.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260</v>
      </c>
      <c r="J26" s="9">
        <v>0.29166666666666669</v>
      </c>
      <c r="K26" s="50">
        <v>187</v>
      </c>
      <c r="L26" s="50">
        <v>63</v>
      </c>
      <c r="M26" s="50">
        <v>10</v>
      </c>
      <c r="S26" s="9">
        <v>0.29166666666666669</v>
      </c>
      <c r="T26" s="50">
        <v>67</v>
      </c>
      <c r="U26" s="50">
        <v>187</v>
      </c>
      <c r="V26" s="50">
        <v>6</v>
      </c>
    </row>
    <row r="27" spans="2:24" x14ac:dyDescent="0.25">
      <c r="B27" s="9">
        <v>0.30208333333333331</v>
      </c>
      <c r="C27" s="50">
        <v>244</v>
      </c>
      <c r="J27" s="9">
        <v>0.30208333333333331</v>
      </c>
      <c r="K27" s="50">
        <v>167</v>
      </c>
      <c r="L27" s="50">
        <v>67</v>
      </c>
      <c r="M27" s="50">
        <v>10</v>
      </c>
      <c r="S27" s="9">
        <v>0.30208333333333331</v>
      </c>
      <c r="T27" s="50">
        <v>68</v>
      </c>
      <c r="U27" s="50">
        <v>173</v>
      </c>
      <c r="V27" s="50">
        <v>3</v>
      </c>
    </row>
    <row r="28" spans="2:24" x14ac:dyDescent="0.25">
      <c r="B28" s="9">
        <v>0.3125</v>
      </c>
      <c r="C28" s="50">
        <v>294</v>
      </c>
      <c r="J28" s="9">
        <v>0.3125</v>
      </c>
      <c r="K28" s="50">
        <v>205</v>
      </c>
      <c r="L28" s="50">
        <v>73</v>
      </c>
      <c r="M28" s="50">
        <v>16</v>
      </c>
      <c r="S28" s="9">
        <v>0.3125</v>
      </c>
      <c r="T28" s="50">
        <v>75</v>
      </c>
      <c r="U28" s="50">
        <v>215</v>
      </c>
      <c r="V28" s="50">
        <v>4</v>
      </c>
    </row>
    <row r="29" spans="2:24" x14ac:dyDescent="0.25">
      <c r="B29" s="9">
        <v>0.32291666666666669</v>
      </c>
      <c r="C29" s="50">
        <v>327</v>
      </c>
      <c r="J29" s="9">
        <v>0.32291666666666669</v>
      </c>
      <c r="K29" s="50">
        <v>181</v>
      </c>
      <c r="L29" s="50">
        <v>117</v>
      </c>
      <c r="M29" s="50">
        <v>29</v>
      </c>
      <c r="S29" s="9">
        <v>0.32291666666666669</v>
      </c>
      <c r="T29" s="50">
        <v>124</v>
      </c>
      <c r="U29" s="50">
        <v>194</v>
      </c>
      <c r="V29" s="50">
        <v>9</v>
      </c>
    </row>
    <row r="30" spans="2:24" x14ac:dyDescent="0.25">
      <c r="B30" s="9">
        <v>0.33333333333333331</v>
      </c>
      <c r="C30" s="50">
        <v>325</v>
      </c>
      <c r="J30" s="9">
        <v>0.33333333333333331</v>
      </c>
      <c r="K30" s="50">
        <v>199</v>
      </c>
      <c r="L30" s="50">
        <v>109</v>
      </c>
      <c r="M30" s="50">
        <v>17</v>
      </c>
      <c r="S30" s="9">
        <v>0.33333333333333331</v>
      </c>
      <c r="T30" s="50">
        <v>112</v>
      </c>
      <c r="U30" s="50">
        <v>208</v>
      </c>
      <c r="V30" s="50">
        <v>5</v>
      </c>
    </row>
    <row r="31" spans="2:24" x14ac:dyDescent="0.25">
      <c r="B31" s="9">
        <v>0.34375</v>
      </c>
      <c r="C31" s="50">
        <v>308</v>
      </c>
      <c r="J31" s="9">
        <v>0.34375</v>
      </c>
      <c r="K31" s="50">
        <v>190</v>
      </c>
      <c r="L31" s="50">
        <v>95</v>
      </c>
      <c r="M31" s="50">
        <v>23</v>
      </c>
      <c r="S31" s="9">
        <v>0.34375</v>
      </c>
      <c r="T31" s="50">
        <v>103</v>
      </c>
      <c r="U31" s="50">
        <v>201</v>
      </c>
      <c r="V31" s="50">
        <v>4</v>
      </c>
    </row>
    <row r="32" spans="2:24" x14ac:dyDescent="0.25">
      <c r="B32" s="9">
        <v>0.35416666666666669</v>
      </c>
      <c r="C32" s="50">
        <v>366</v>
      </c>
      <c r="J32" s="9">
        <v>0.35416666666666669</v>
      </c>
      <c r="K32" s="50">
        <v>221</v>
      </c>
      <c r="L32" s="50">
        <v>134</v>
      </c>
      <c r="M32" s="50">
        <v>11</v>
      </c>
      <c r="S32" s="9">
        <v>0.35416666666666669</v>
      </c>
      <c r="T32" s="50">
        <v>135</v>
      </c>
      <c r="U32" s="50">
        <v>225</v>
      </c>
      <c r="V32" s="50">
        <v>6</v>
      </c>
    </row>
    <row r="33" spans="2:22" x14ac:dyDescent="0.25">
      <c r="B33" s="9">
        <v>0.36458333333333331</v>
      </c>
      <c r="C33" s="50">
        <v>280</v>
      </c>
      <c r="J33" s="9">
        <v>0.36458333333333331</v>
      </c>
      <c r="K33" s="50">
        <v>174</v>
      </c>
      <c r="L33" s="50">
        <v>92</v>
      </c>
      <c r="M33" s="50">
        <v>14</v>
      </c>
      <c r="S33" s="9">
        <v>0.36458333333333331</v>
      </c>
      <c r="T33" s="50">
        <v>98</v>
      </c>
      <c r="U33" s="50">
        <v>178</v>
      </c>
      <c r="V33" s="50">
        <v>4</v>
      </c>
    </row>
    <row r="34" spans="2:22" x14ac:dyDescent="0.25">
      <c r="B34" s="9" t="s">
        <v>49</v>
      </c>
      <c r="C34" s="50">
        <v>2404</v>
      </c>
      <c r="J34" s="9" t="s">
        <v>49</v>
      </c>
      <c r="K34" s="50">
        <v>1524</v>
      </c>
      <c r="L34" s="50">
        <v>750</v>
      </c>
      <c r="M34" s="50">
        <v>130</v>
      </c>
      <c r="S34" s="9" t="s">
        <v>49</v>
      </c>
      <c r="T34" s="50">
        <v>782</v>
      </c>
      <c r="U34" s="50">
        <v>1581</v>
      </c>
      <c r="V34" s="50">
        <v>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7"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1326 vehicles between 07:45 and 08:45</v>
      </c>
    </row>
    <row r="5" spans="2:2" x14ac:dyDescent="0.25">
      <c r="B5" s="6" t="str">
        <f>PeakCalc!I8</f>
        <v>The peak hour for INT is 956 vehicles between 13:00 and 14:00</v>
      </c>
    </row>
    <row r="6" spans="2:2" x14ac:dyDescent="0.25">
      <c r="B6" s="6" t="str">
        <f>PeakCalc!J8</f>
        <v>The peak hour for PM is 1449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111</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93</v>
      </c>
      <c r="C32" s="49">
        <v>79</v>
      </c>
      <c r="D32" s="49">
        <v>1</v>
      </c>
      <c r="E32" s="49">
        <v>0</v>
      </c>
      <c r="F32" s="49">
        <v>80</v>
      </c>
      <c r="G32" s="49">
        <v>41</v>
      </c>
      <c r="H32" s="49">
        <v>0</v>
      </c>
      <c r="I32" s="49">
        <v>1</v>
      </c>
      <c r="J32" s="49">
        <v>42</v>
      </c>
      <c r="K32" s="49">
        <v>30</v>
      </c>
      <c r="L32" s="49">
        <v>0</v>
      </c>
      <c r="M32" s="49">
        <v>0</v>
      </c>
      <c r="N32" s="49">
        <v>30</v>
      </c>
    </row>
    <row r="33" spans="2:14" x14ac:dyDescent="0.25">
      <c r="B33" s="14" t="s">
        <v>96</v>
      </c>
      <c r="C33" s="49">
        <v>32</v>
      </c>
      <c r="D33" s="49">
        <v>1</v>
      </c>
      <c r="E33" s="49">
        <v>0</v>
      </c>
      <c r="F33" s="49">
        <v>33</v>
      </c>
      <c r="G33" s="49">
        <v>31</v>
      </c>
      <c r="H33" s="49">
        <v>0</v>
      </c>
      <c r="I33" s="49">
        <v>1</v>
      </c>
      <c r="J33" s="49">
        <v>32</v>
      </c>
      <c r="K33" s="49">
        <v>17</v>
      </c>
      <c r="L33" s="49">
        <v>0</v>
      </c>
      <c r="M33" s="49">
        <v>0</v>
      </c>
      <c r="N33" s="49">
        <v>17</v>
      </c>
    </row>
    <row r="34" spans="2:14" x14ac:dyDescent="0.25">
      <c r="B34" s="14" t="s">
        <v>97</v>
      </c>
      <c r="C34" s="49">
        <v>47</v>
      </c>
      <c r="D34" s="49">
        <v>0</v>
      </c>
      <c r="E34" s="49">
        <v>0</v>
      </c>
      <c r="F34" s="49">
        <v>47</v>
      </c>
      <c r="G34" s="49">
        <v>10</v>
      </c>
      <c r="H34" s="49">
        <v>0</v>
      </c>
      <c r="I34" s="49">
        <v>0</v>
      </c>
      <c r="J34" s="49">
        <v>10</v>
      </c>
      <c r="K34" s="49">
        <v>13</v>
      </c>
      <c r="L34" s="49">
        <v>0</v>
      </c>
      <c r="M34" s="49">
        <v>0</v>
      </c>
      <c r="N34" s="49">
        <v>13</v>
      </c>
    </row>
    <row r="35" spans="2:14" x14ac:dyDescent="0.25">
      <c r="B35" s="10" t="s">
        <v>94</v>
      </c>
      <c r="C35" s="49">
        <v>754</v>
      </c>
      <c r="D35" s="49">
        <v>20</v>
      </c>
      <c r="E35" s="49">
        <v>17</v>
      </c>
      <c r="F35" s="49">
        <v>791</v>
      </c>
      <c r="G35" s="49">
        <v>537</v>
      </c>
      <c r="H35" s="49">
        <v>4</v>
      </c>
      <c r="I35" s="49">
        <v>1</v>
      </c>
      <c r="J35" s="49">
        <v>542</v>
      </c>
      <c r="K35" s="49">
        <v>382</v>
      </c>
      <c r="L35" s="49">
        <v>20</v>
      </c>
      <c r="M35" s="49">
        <v>1</v>
      </c>
      <c r="N35" s="49">
        <v>403</v>
      </c>
    </row>
    <row r="36" spans="2:14" x14ac:dyDescent="0.25">
      <c r="B36" s="14" t="s">
        <v>98</v>
      </c>
      <c r="C36" s="49">
        <v>746</v>
      </c>
      <c r="D36" s="49">
        <v>19</v>
      </c>
      <c r="E36" s="49">
        <v>16</v>
      </c>
      <c r="F36" s="49">
        <v>781</v>
      </c>
      <c r="G36" s="49">
        <v>487</v>
      </c>
      <c r="H36" s="49">
        <v>4</v>
      </c>
      <c r="I36" s="49">
        <v>1</v>
      </c>
      <c r="J36" s="49">
        <v>492</v>
      </c>
      <c r="K36" s="49">
        <v>362</v>
      </c>
      <c r="L36" s="49">
        <v>20</v>
      </c>
      <c r="M36" s="49">
        <v>1</v>
      </c>
      <c r="N36" s="49">
        <v>383</v>
      </c>
    </row>
    <row r="37" spans="2:14" x14ac:dyDescent="0.25">
      <c r="B37" s="14" t="s">
        <v>99</v>
      </c>
      <c r="C37" s="49">
        <v>8</v>
      </c>
      <c r="D37" s="49">
        <v>1</v>
      </c>
      <c r="E37" s="49">
        <v>1</v>
      </c>
      <c r="F37" s="49">
        <v>10</v>
      </c>
      <c r="G37" s="49">
        <v>50</v>
      </c>
      <c r="H37" s="49">
        <v>0</v>
      </c>
      <c r="I37" s="49">
        <v>0</v>
      </c>
      <c r="J37" s="49">
        <v>50</v>
      </c>
      <c r="K37" s="49">
        <v>20</v>
      </c>
      <c r="L37" s="49">
        <v>0</v>
      </c>
      <c r="M37" s="49">
        <v>0</v>
      </c>
      <c r="N37" s="49">
        <v>20</v>
      </c>
    </row>
    <row r="38" spans="2:14" x14ac:dyDescent="0.25">
      <c r="B38" s="10" t="s">
        <v>95</v>
      </c>
      <c r="C38" s="49">
        <v>435</v>
      </c>
      <c r="D38" s="49">
        <v>13</v>
      </c>
      <c r="E38" s="49">
        <v>7</v>
      </c>
      <c r="F38" s="49">
        <v>455</v>
      </c>
      <c r="G38" s="49">
        <v>836</v>
      </c>
      <c r="H38" s="49">
        <v>9</v>
      </c>
      <c r="I38" s="49">
        <v>20</v>
      </c>
      <c r="J38" s="49">
        <v>865</v>
      </c>
      <c r="K38" s="49">
        <v>507</v>
      </c>
      <c r="L38" s="49">
        <v>14</v>
      </c>
      <c r="M38" s="49">
        <v>2</v>
      </c>
      <c r="N38" s="49">
        <v>523</v>
      </c>
    </row>
    <row r="39" spans="2:14" x14ac:dyDescent="0.25">
      <c r="B39" s="14" t="s">
        <v>100</v>
      </c>
      <c r="C39" s="49">
        <v>13</v>
      </c>
      <c r="D39" s="49">
        <v>1</v>
      </c>
      <c r="E39" s="49">
        <v>0</v>
      </c>
      <c r="F39" s="49">
        <v>14</v>
      </c>
      <c r="G39" s="49">
        <v>26</v>
      </c>
      <c r="H39" s="49">
        <v>0</v>
      </c>
      <c r="I39" s="49">
        <v>0</v>
      </c>
      <c r="J39" s="49">
        <v>26</v>
      </c>
      <c r="K39" s="49">
        <v>15</v>
      </c>
      <c r="L39" s="49">
        <v>0</v>
      </c>
      <c r="M39" s="49">
        <v>0</v>
      </c>
      <c r="N39" s="49">
        <v>15</v>
      </c>
    </row>
    <row r="40" spans="2:14" x14ac:dyDescent="0.25">
      <c r="B40" s="14" t="s">
        <v>101</v>
      </c>
      <c r="C40" s="49">
        <v>422</v>
      </c>
      <c r="D40" s="49">
        <v>12</v>
      </c>
      <c r="E40" s="49">
        <v>7</v>
      </c>
      <c r="F40" s="49">
        <v>441</v>
      </c>
      <c r="G40" s="49">
        <v>810</v>
      </c>
      <c r="H40" s="49">
        <v>9</v>
      </c>
      <c r="I40" s="49">
        <v>20</v>
      </c>
      <c r="J40" s="49">
        <v>839</v>
      </c>
      <c r="K40" s="49">
        <v>492</v>
      </c>
      <c r="L40" s="49">
        <v>14</v>
      </c>
      <c r="M40" s="49">
        <v>2</v>
      </c>
      <c r="N40" s="49">
        <v>508</v>
      </c>
    </row>
    <row r="41" spans="2:14" x14ac:dyDescent="0.25">
      <c r="B41" s="10" t="s">
        <v>49</v>
      </c>
      <c r="C41" s="49">
        <v>1268</v>
      </c>
      <c r="D41" s="49">
        <v>34</v>
      </c>
      <c r="E41" s="49">
        <v>24</v>
      </c>
      <c r="F41" s="49">
        <v>1326</v>
      </c>
      <c r="G41" s="49">
        <v>1414</v>
      </c>
      <c r="H41" s="49">
        <v>13</v>
      </c>
      <c r="I41" s="49">
        <v>22</v>
      </c>
      <c r="J41" s="49">
        <v>1449</v>
      </c>
      <c r="K41" s="49">
        <v>919</v>
      </c>
      <c r="L41" s="49">
        <v>34</v>
      </c>
      <c r="M41" s="49">
        <v>3</v>
      </c>
      <c r="N41" s="49">
        <v>956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4ED43-A763-4E94-B189-926EF63D1895}">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6</v>
      </c>
      <c r="D15" s="55" t="s">
        <v>113</v>
      </c>
      <c r="E15" s="55" t="s">
        <v>113</v>
      </c>
      <c r="F15" s="55" t="s">
        <v>113</v>
      </c>
      <c r="G15" s="55">
        <v>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180</v>
      </c>
      <c r="V15" s="55" t="s">
        <v>113</v>
      </c>
      <c r="W15" s="55">
        <v>4</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2</v>
      </c>
      <c r="AZ15" s="55" t="s">
        <v>113</v>
      </c>
      <c r="BA15" s="55">
        <v>60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3</v>
      </c>
      <c r="D16" s="55" t="s">
        <v>113</v>
      </c>
      <c r="E16" s="55" t="s">
        <v>113</v>
      </c>
      <c r="F16" s="55" t="s">
        <v>113</v>
      </c>
      <c r="G16" s="55">
        <v>7</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165</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2</v>
      </c>
      <c r="AZ16" s="55" t="s">
        <v>113</v>
      </c>
      <c r="BA16" s="55">
        <v>60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3</v>
      </c>
      <c r="D17" s="55" t="s">
        <v>113</v>
      </c>
      <c r="E17" s="55" t="s">
        <v>113</v>
      </c>
      <c r="F17" s="55" t="s">
        <v>113</v>
      </c>
      <c r="G17" s="55">
        <v>12</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189</v>
      </c>
      <c r="V17" s="55" t="s">
        <v>113</v>
      </c>
      <c r="W17" s="55">
        <v>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64</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13</v>
      </c>
      <c r="D18" s="55" t="s">
        <v>113</v>
      </c>
      <c r="E18" s="55" t="s">
        <v>113</v>
      </c>
      <c r="F18" s="55" t="s">
        <v>113</v>
      </c>
      <c r="G18" s="55">
        <v>15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171</v>
      </c>
      <c r="V18" s="55" t="s">
        <v>113</v>
      </c>
      <c r="W18" s="55">
        <v>1</v>
      </c>
      <c r="X18" s="55" t="s">
        <v>113</v>
      </c>
      <c r="Y18" s="55">
        <v>1</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6</v>
      </c>
      <c r="AZ18" s="55" t="s">
        <v>113</v>
      </c>
      <c r="BA18" s="55">
        <v>105</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5</v>
      </c>
      <c r="D19" s="55" t="s">
        <v>113</v>
      </c>
      <c r="E19" s="55" t="s">
        <v>113</v>
      </c>
      <c r="F19" s="55" t="s">
        <v>113</v>
      </c>
      <c r="G19" s="55">
        <v>12</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182</v>
      </c>
      <c r="V19" s="55" t="s">
        <v>113</v>
      </c>
      <c r="W19" s="55">
        <v>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2</v>
      </c>
      <c r="AZ19" s="55" t="s">
        <v>113</v>
      </c>
      <c r="BA19" s="55">
        <v>99</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9</v>
      </c>
      <c r="D20" s="55" t="s">
        <v>113</v>
      </c>
      <c r="E20" s="55" t="s">
        <v>113</v>
      </c>
      <c r="F20" s="55" t="s">
        <v>113</v>
      </c>
      <c r="G20" s="55">
        <v>14</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182</v>
      </c>
      <c r="V20" s="55" t="s">
        <v>113</v>
      </c>
      <c r="W20" s="55">
        <v>3</v>
      </c>
      <c r="X20" s="55" t="s">
        <v>113</v>
      </c>
      <c r="Y20" s="55">
        <v>1</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90</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5</v>
      </c>
      <c r="D21" s="55" t="s">
        <v>113</v>
      </c>
      <c r="E21" s="55" t="s">
        <v>113</v>
      </c>
      <c r="F21" s="55" t="s">
        <v>113</v>
      </c>
      <c r="G21" s="55">
        <v>6</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211</v>
      </c>
      <c r="V21" s="55" t="s">
        <v>113</v>
      </c>
      <c r="W21" s="55">
        <v>1</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4</v>
      </c>
      <c r="AZ21" s="55" t="s">
        <v>113</v>
      </c>
      <c r="BA21" s="55">
        <v>128</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7</v>
      </c>
      <c r="D22" s="55" t="s">
        <v>113</v>
      </c>
      <c r="E22" s="55" t="s">
        <v>113</v>
      </c>
      <c r="F22" s="55" t="s">
        <v>113</v>
      </c>
      <c r="G22" s="55">
        <v>7</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164</v>
      </c>
      <c r="V22" s="55" t="s">
        <v>113</v>
      </c>
      <c r="W22" s="55">
        <v>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v>
      </c>
      <c r="AZ22" s="55" t="s">
        <v>113</v>
      </c>
      <c r="BA22" s="55">
        <v>89</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2</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3</v>
      </c>
      <c r="D24" s="55" t="s">
        <v>113</v>
      </c>
      <c r="E24" s="55" t="s">
        <v>113</v>
      </c>
      <c r="F24" s="55" t="s">
        <v>113</v>
      </c>
      <c r="G24" s="55">
        <v>2</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77</v>
      </c>
      <c r="V24" s="55" t="s">
        <v>113</v>
      </c>
      <c r="W24" s="55">
        <v>10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3</v>
      </c>
      <c r="AZ24" s="55" t="s">
        <v>113</v>
      </c>
      <c r="BA24" s="55">
        <v>121</v>
      </c>
      <c r="BB24" s="55" t="s">
        <v>113</v>
      </c>
      <c r="BC24" s="55" t="s">
        <v>113</v>
      </c>
      <c r="BD24" s="55" t="s">
        <v>113</v>
      </c>
      <c r="BE24" s="55">
        <v>1</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3</v>
      </c>
      <c r="D25" s="55" t="s">
        <v>113</v>
      </c>
      <c r="E25" s="55" t="s">
        <v>113</v>
      </c>
      <c r="F25" s="55" t="s">
        <v>113</v>
      </c>
      <c r="G25" s="55">
        <v>4</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96</v>
      </c>
      <c r="V25" s="55" t="s">
        <v>113</v>
      </c>
      <c r="W25" s="55">
        <v>2</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2</v>
      </c>
      <c r="AZ25" s="55" t="s">
        <v>113</v>
      </c>
      <c r="BA25" s="55">
        <v>131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4</v>
      </c>
      <c r="D26" s="55" t="s">
        <v>113</v>
      </c>
      <c r="E26" s="55" t="s">
        <v>113</v>
      </c>
      <c r="F26" s="55" t="s">
        <v>113</v>
      </c>
      <c r="G26" s="55">
        <v>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90</v>
      </c>
      <c r="V26" s="55" t="s">
        <v>113</v>
      </c>
      <c r="W26" s="55">
        <v>6</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6</v>
      </c>
      <c r="AZ26" s="55" t="s">
        <v>113</v>
      </c>
      <c r="BA26" s="55">
        <v>122</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7</v>
      </c>
      <c r="D27" s="55" t="s">
        <v>113</v>
      </c>
      <c r="E27" s="55" t="s">
        <v>113</v>
      </c>
      <c r="F27" s="55" t="s">
        <v>113</v>
      </c>
      <c r="G27" s="55">
        <v>2</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99</v>
      </c>
      <c r="V27" s="55" t="s">
        <v>113</v>
      </c>
      <c r="W27" s="55">
        <v>2</v>
      </c>
      <c r="X27" s="55" t="s">
        <v>113</v>
      </c>
      <c r="Y27" s="55">
        <v>1</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4</v>
      </c>
      <c r="AZ27" s="55" t="s">
        <v>113</v>
      </c>
      <c r="BA27" s="55">
        <v>118</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1</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4</v>
      </c>
      <c r="D29" s="55" t="s">
        <v>113</v>
      </c>
      <c r="E29" s="55" t="s">
        <v>113</v>
      </c>
      <c r="F29" s="55" t="s">
        <v>113</v>
      </c>
      <c r="G29" s="55">
        <v>2</v>
      </c>
      <c r="H29" s="55" t="s">
        <v>113</v>
      </c>
      <c r="I29" s="55">
        <v>1</v>
      </c>
      <c r="J29" s="55" t="s">
        <v>113</v>
      </c>
      <c r="K29" s="55" t="s">
        <v>113</v>
      </c>
      <c r="L29" s="55" t="s">
        <v>113</v>
      </c>
      <c r="M29" s="55" t="s">
        <v>113</v>
      </c>
      <c r="N29" s="55" t="s">
        <v>113</v>
      </c>
      <c r="O29" s="55" t="s">
        <v>113</v>
      </c>
      <c r="P29" s="55" t="s">
        <v>113</v>
      </c>
      <c r="Q29" s="55" t="s">
        <v>113</v>
      </c>
      <c r="R29" s="55" t="s">
        <v>113</v>
      </c>
      <c r="S29" s="55" t="s">
        <v>113</v>
      </c>
      <c r="T29" s="55" t="s">
        <v>113</v>
      </c>
      <c r="U29" s="55">
        <v>114</v>
      </c>
      <c r="V29" s="55" t="s">
        <v>113</v>
      </c>
      <c r="W29" s="55">
        <v>2</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3</v>
      </c>
      <c r="AZ29" s="55" t="s">
        <v>113</v>
      </c>
      <c r="BA29" s="55">
        <v>191</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3</v>
      </c>
      <c r="D30" s="55" t="s">
        <v>113</v>
      </c>
      <c r="E30" s="55" t="s">
        <v>113</v>
      </c>
      <c r="F30" s="55" t="s">
        <v>113</v>
      </c>
      <c r="G30" s="55">
        <v>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96</v>
      </c>
      <c r="V30" s="55" t="s">
        <v>113</v>
      </c>
      <c r="W30" s="55">
        <v>5</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8</v>
      </c>
      <c r="AZ30" s="55" t="s">
        <v>113</v>
      </c>
      <c r="BA30" s="55">
        <v>208</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7</v>
      </c>
      <c r="D31" s="55" t="s">
        <v>113</v>
      </c>
      <c r="E31" s="55" t="s">
        <v>113</v>
      </c>
      <c r="F31" s="55" t="s">
        <v>113</v>
      </c>
      <c r="G31" s="55">
        <v>5</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127</v>
      </c>
      <c r="V31" s="55" t="s">
        <v>113</v>
      </c>
      <c r="W31" s="55">
        <v>10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5</v>
      </c>
      <c r="AZ31" s="55" t="s">
        <v>113</v>
      </c>
      <c r="BA31" s="55">
        <v>218</v>
      </c>
      <c r="BB31" s="55" t="s">
        <v>113</v>
      </c>
      <c r="BC31" s="55" t="s">
        <v>113</v>
      </c>
      <c r="BD31" s="55" t="s">
        <v>113</v>
      </c>
      <c r="BE31" s="55">
        <v>1</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2</v>
      </c>
      <c r="D32" s="55" t="s">
        <v>113</v>
      </c>
      <c r="E32" s="55" t="s">
        <v>113</v>
      </c>
      <c r="F32" s="55" t="s">
        <v>113</v>
      </c>
      <c r="G32" s="55">
        <v>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119</v>
      </c>
      <c r="V32" s="55" t="s">
        <v>113</v>
      </c>
      <c r="W32" s="55">
        <v>7</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9</v>
      </c>
      <c r="AZ32" s="55" t="s">
        <v>113</v>
      </c>
      <c r="BA32" s="55">
        <v>209</v>
      </c>
      <c r="BB32" s="55" t="s">
        <v>113</v>
      </c>
      <c r="BC32" s="55" t="s">
        <v>113</v>
      </c>
      <c r="BD32" s="55" t="s">
        <v>113</v>
      </c>
      <c r="BE32" s="55">
        <v>1</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11</v>
      </c>
      <c r="D33" s="55" t="s">
        <v>113</v>
      </c>
      <c r="E33" s="55" t="s">
        <v>113</v>
      </c>
      <c r="F33" s="55" t="s">
        <v>113</v>
      </c>
      <c r="G33" s="55">
        <v>1</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126</v>
      </c>
      <c r="V33" s="55" t="s">
        <v>113</v>
      </c>
      <c r="W33" s="55">
        <v>17</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6</v>
      </c>
      <c r="AZ33" s="55" t="s">
        <v>113</v>
      </c>
      <c r="BA33" s="55">
        <v>199</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11</v>
      </c>
      <c r="D34" s="55" t="s">
        <v>113</v>
      </c>
      <c r="E34" s="55" t="s">
        <v>113</v>
      </c>
      <c r="F34" s="55" t="s">
        <v>113</v>
      </c>
      <c r="G34" s="55">
        <v>1</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115</v>
      </c>
      <c r="V34" s="55" t="s">
        <v>113</v>
      </c>
      <c r="W34" s="55">
        <v>16</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6</v>
      </c>
      <c r="AZ34" s="55" t="s">
        <v>113</v>
      </c>
      <c r="BA34" s="55">
        <v>184</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5</v>
      </c>
      <c r="D35" s="55" t="s">
        <v>113</v>
      </c>
      <c r="E35" s="55" t="s">
        <v>113</v>
      </c>
      <c r="F35" s="55" t="s">
        <v>113</v>
      </c>
      <c r="G35" s="55">
        <v>4</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95</v>
      </c>
      <c r="V35" s="55" t="s">
        <v>113</v>
      </c>
      <c r="W35" s="55">
        <v>9</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4</v>
      </c>
      <c r="AZ35" s="55" t="s">
        <v>113</v>
      </c>
      <c r="BA35" s="55">
        <v>203</v>
      </c>
      <c r="BB35" s="55" t="s">
        <v>113</v>
      </c>
      <c r="BC35" s="55" t="s">
        <v>113</v>
      </c>
      <c r="BD35" s="55" t="s">
        <v>113</v>
      </c>
      <c r="BE35" s="55">
        <v>1</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5</v>
      </c>
      <c r="D36" s="55" t="s">
        <v>113</v>
      </c>
      <c r="E36" s="55" t="s">
        <v>113</v>
      </c>
      <c r="F36" s="55" t="s">
        <v>113</v>
      </c>
      <c r="G36" s="55">
        <v>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100</v>
      </c>
      <c r="V36" s="55" t="s">
        <v>113</v>
      </c>
      <c r="W36" s="55">
        <v>10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4</v>
      </c>
      <c r="AZ36" s="55" t="s">
        <v>113</v>
      </c>
      <c r="BA36" s="55">
        <v>164</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1</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1B64-A40A-46CD-BA34-37A2864B845D}">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2</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1</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0</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4</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9</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8</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4</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v>
      </c>
      <c r="AZ18" s="55" t="s">
        <v>113</v>
      </c>
      <c r="BA18" s="55">
        <v>4</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7</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3</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3</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5</v>
      </c>
      <c r="V21" s="55" t="s">
        <v>113</v>
      </c>
      <c r="W21" s="55">
        <v>1</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2</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3</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2</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2</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7</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5</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8</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4</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2</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3</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4</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2</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3</v>
      </c>
      <c r="V30" s="55" t="s">
        <v>113</v>
      </c>
      <c r="W30" s="55">
        <v>1</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5</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4</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1</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3</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1</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3</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1</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561EC-04A8-4DDF-B797-3B74388DBA8E}">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t="s">
        <v>113</v>
      </c>
      <c r="F15" s="55" t="s">
        <v>113</v>
      </c>
      <c r="G15" s="55">
        <v>1</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1</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4</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4</v>
      </c>
      <c r="V18" s="55" t="s">
        <v>113</v>
      </c>
      <c r="W18" s="55">
        <v>1</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1</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7</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5</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1</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4</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0</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2</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3</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4</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1</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7</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0</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6</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0</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6</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7</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3</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2A42-CE35-4573-A0A9-D42AE340F73B}">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6</v>
      </c>
      <c r="D15" s="55" t="s">
        <v>113</v>
      </c>
      <c r="E15" s="55" t="s">
        <v>113</v>
      </c>
      <c r="F15" s="55" t="s">
        <v>113</v>
      </c>
      <c r="G15" s="55">
        <v>4</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183</v>
      </c>
      <c r="V15" s="55" t="s">
        <v>113</v>
      </c>
      <c r="W15" s="55">
        <v>4</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2</v>
      </c>
      <c r="AZ15" s="55" t="s">
        <v>113</v>
      </c>
      <c r="BA15" s="55">
        <v>61</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3</v>
      </c>
      <c r="D16" s="55" t="s">
        <v>113</v>
      </c>
      <c r="E16" s="55" t="s">
        <v>113</v>
      </c>
      <c r="F16" s="55" t="s">
        <v>113</v>
      </c>
      <c r="G16" s="55">
        <v>7</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166</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2</v>
      </c>
      <c r="AZ16" s="55" t="s">
        <v>113</v>
      </c>
      <c r="BA16" s="55">
        <v>65</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3</v>
      </c>
      <c r="D17" s="55" t="s">
        <v>113</v>
      </c>
      <c r="E17" s="55" t="s">
        <v>113</v>
      </c>
      <c r="F17" s="55" t="s">
        <v>113</v>
      </c>
      <c r="G17" s="55">
        <v>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202</v>
      </c>
      <c r="V17" s="55" t="s">
        <v>113</v>
      </c>
      <c r="W17" s="55">
        <v>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72</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14</v>
      </c>
      <c r="D18" s="55" t="s">
        <v>113</v>
      </c>
      <c r="E18" s="55" t="s">
        <v>113</v>
      </c>
      <c r="F18" s="55" t="s">
        <v>113</v>
      </c>
      <c r="G18" s="55">
        <v>15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179</v>
      </c>
      <c r="V18" s="55" t="s">
        <v>113</v>
      </c>
      <c r="W18" s="55">
        <v>2</v>
      </c>
      <c r="X18" s="55" t="s">
        <v>113</v>
      </c>
      <c r="Y18" s="55">
        <v>1</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7</v>
      </c>
      <c r="AZ18" s="55" t="s">
        <v>113</v>
      </c>
      <c r="BA18" s="55">
        <v>110</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5</v>
      </c>
      <c r="D19" s="55" t="s">
        <v>113</v>
      </c>
      <c r="E19" s="55" t="s">
        <v>113</v>
      </c>
      <c r="F19" s="55" t="s">
        <v>113</v>
      </c>
      <c r="G19" s="55">
        <v>12</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196</v>
      </c>
      <c r="V19" s="55" t="s">
        <v>113</v>
      </c>
      <c r="W19" s="55">
        <v>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2</v>
      </c>
      <c r="AZ19" s="55" t="s">
        <v>113</v>
      </c>
      <c r="BA19" s="55">
        <v>107</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9</v>
      </c>
      <c r="D20" s="55" t="s">
        <v>113</v>
      </c>
      <c r="E20" s="55" t="s">
        <v>113</v>
      </c>
      <c r="F20" s="55" t="s">
        <v>113</v>
      </c>
      <c r="G20" s="55">
        <v>14</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187</v>
      </c>
      <c r="V20" s="55" t="s">
        <v>113</v>
      </c>
      <c r="W20" s="55">
        <v>3</v>
      </c>
      <c r="X20" s="55" t="s">
        <v>113</v>
      </c>
      <c r="Y20" s="55">
        <v>1</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94</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5</v>
      </c>
      <c r="D21" s="55" t="s">
        <v>113</v>
      </c>
      <c r="E21" s="55" t="s">
        <v>113</v>
      </c>
      <c r="F21" s="55" t="s">
        <v>113</v>
      </c>
      <c r="G21" s="55">
        <v>6</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219</v>
      </c>
      <c r="V21" s="55" t="s">
        <v>113</v>
      </c>
      <c r="W21" s="55">
        <v>2</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4</v>
      </c>
      <c r="AZ21" s="55" t="s">
        <v>113</v>
      </c>
      <c r="BA21" s="55">
        <v>130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7</v>
      </c>
      <c r="D22" s="55" t="s">
        <v>113</v>
      </c>
      <c r="E22" s="55" t="s">
        <v>113</v>
      </c>
      <c r="F22" s="55" t="s">
        <v>113</v>
      </c>
      <c r="G22" s="55">
        <v>7</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171</v>
      </c>
      <c r="V22" s="55" t="s">
        <v>113</v>
      </c>
      <c r="W22" s="55">
        <v>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v>
      </c>
      <c r="AZ22" s="55" t="s">
        <v>113</v>
      </c>
      <c r="BA22" s="55">
        <v>91</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2</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3</v>
      </c>
      <c r="D24" s="55" t="s">
        <v>113</v>
      </c>
      <c r="E24" s="55" t="s">
        <v>113</v>
      </c>
      <c r="F24" s="55" t="s">
        <v>113</v>
      </c>
      <c r="G24" s="55">
        <v>2</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80</v>
      </c>
      <c r="V24" s="55" t="s">
        <v>113</v>
      </c>
      <c r="W24" s="55">
        <v>10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3</v>
      </c>
      <c r="AZ24" s="55" t="s">
        <v>113</v>
      </c>
      <c r="BA24" s="55">
        <v>123</v>
      </c>
      <c r="BB24" s="55" t="s">
        <v>113</v>
      </c>
      <c r="BC24" s="55" t="s">
        <v>113</v>
      </c>
      <c r="BD24" s="55" t="s">
        <v>113</v>
      </c>
      <c r="BE24" s="55">
        <v>1</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3</v>
      </c>
      <c r="D25" s="55" t="s">
        <v>113</v>
      </c>
      <c r="E25" s="55" t="s">
        <v>113</v>
      </c>
      <c r="F25" s="55" t="s">
        <v>113</v>
      </c>
      <c r="G25" s="55">
        <v>4</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103</v>
      </c>
      <c r="V25" s="55" t="s">
        <v>113</v>
      </c>
      <c r="W25" s="55">
        <v>2</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2</v>
      </c>
      <c r="AZ25" s="55" t="s">
        <v>113</v>
      </c>
      <c r="BA25" s="55">
        <v>136</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4</v>
      </c>
      <c r="D26" s="55" t="s">
        <v>113</v>
      </c>
      <c r="E26" s="55" t="s">
        <v>113</v>
      </c>
      <c r="F26" s="55" t="s">
        <v>113</v>
      </c>
      <c r="G26" s="55">
        <v>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98</v>
      </c>
      <c r="V26" s="55" t="s">
        <v>113</v>
      </c>
      <c r="W26" s="55">
        <v>6</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6</v>
      </c>
      <c r="AZ26" s="55" t="s">
        <v>113</v>
      </c>
      <c r="BA26" s="55">
        <v>126</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7</v>
      </c>
      <c r="D27" s="55" t="s">
        <v>113</v>
      </c>
      <c r="E27" s="55" t="s">
        <v>113</v>
      </c>
      <c r="F27" s="55" t="s">
        <v>113</v>
      </c>
      <c r="G27" s="55">
        <v>2</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102</v>
      </c>
      <c r="V27" s="55" t="s">
        <v>113</v>
      </c>
      <c r="W27" s="55">
        <v>2</v>
      </c>
      <c r="X27" s="55" t="s">
        <v>113</v>
      </c>
      <c r="Y27" s="55">
        <v>1</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4</v>
      </c>
      <c r="AZ27" s="55" t="s">
        <v>113</v>
      </c>
      <c r="BA27" s="55">
        <v>123</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1</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4</v>
      </c>
      <c r="D29" s="55" t="s">
        <v>113</v>
      </c>
      <c r="E29" s="55" t="s">
        <v>113</v>
      </c>
      <c r="F29" s="55" t="s">
        <v>113</v>
      </c>
      <c r="G29" s="55">
        <v>2</v>
      </c>
      <c r="H29" s="55" t="s">
        <v>113</v>
      </c>
      <c r="I29" s="55">
        <v>1</v>
      </c>
      <c r="J29" s="55" t="s">
        <v>113</v>
      </c>
      <c r="K29" s="55" t="s">
        <v>113</v>
      </c>
      <c r="L29" s="55" t="s">
        <v>113</v>
      </c>
      <c r="M29" s="55" t="s">
        <v>113</v>
      </c>
      <c r="N29" s="55" t="s">
        <v>113</v>
      </c>
      <c r="O29" s="55" t="s">
        <v>113</v>
      </c>
      <c r="P29" s="55" t="s">
        <v>113</v>
      </c>
      <c r="Q29" s="55" t="s">
        <v>113</v>
      </c>
      <c r="R29" s="55" t="s">
        <v>113</v>
      </c>
      <c r="S29" s="55" t="s">
        <v>113</v>
      </c>
      <c r="T29" s="55" t="s">
        <v>113</v>
      </c>
      <c r="U29" s="55">
        <v>119</v>
      </c>
      <c r="V29" s="55" t="s">
        <v>113</v>
      </c>
      <c r="W29" s="55">
        <v>2</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3</v>
      </c>
      <c r="AZ29" s="55" t="s">
        <v>113</v>
      </c>
      <c r="BA29" s="55">
        <v>196</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3</v>
      </c>
      <c r="D30" s="55" t="s">
        <v>113</v>
      </c>
      <c r="E30" s="55" t="s">
        <v>113</v>
      </c>
      <c r="F30" s="55" t="s">
        <v>113</v>
      </c>
      <c r="G30" s="55">
        <v>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100</v>
      </c>
      <c r="V30" s="55" t="s">
        <v>113</v>
      </c>
      <c r="W30" s="55">
        <v>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8</v>
      </c>
      <c r="AZ30" s="55" t="s">
        <v>113</v>
      </c>
      <c r="BA30" s="55">
        <v>217</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7</v>
      </c>
      <c r="D31" s="55" t="s">
        <v>113</v>
      </c>
      <c r="E31" s="55" t="s">
        <v>113</v>
      </c>
      <c r="F31" s="55" t="s">
        <v>113</v>
      </c>
      <c r="G31" s="55">
        <v>5</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129</v>
      </c>
      <c r="V31" s="55" t="s">
        <v>113</v>
      </c>
      <c r="W31" s="55">
        <v>10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5</v>
      </c>
      <c r="AZ31" s="55" t="s">
        <v>113</v>
      </c>
      <c r="BA31" s="55">
        <v>223</v>
      </c>
      <c r="BB31" s="55" t="s">
        <v>113</v>
      </c>
      <c r="BC31" s="55" t="s">
        <v>113</v>
      </c>
      <c r="BD31" s="55" t="s">
        <v>113</v>
      </c>
      <c r="BE31" s="55">
        <v>1</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3</v>
      </c>
      <c r="D32" s="55" t="s">
        <v>113</v>
      </c>
      <c r="E32" s="55" t="s">
        <v>113</v>
      </c>
      <c r="F32" s="55" t="s">
        <v>113</v>
      </c>
      <c r="G32" s="55">
        <v>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120</v>
      </c>
      <c r="V32" s="55" t="s">
        <v>113</v>
      </c>
      <c r="W32" s="55">
        <v>7</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9</v>
      </c>
      <c r="AZ32" s="55" t="s">
        <v>113</v>
      </c>
      <c r="BA32" s="55">
        <v>217</v>
      </c>
      <c r="BB32" s="55" t="s">
        <v>113</v>
      </c>
      <c r="BC32" s="55" t="s">
        <v>113</v>
      </c>
      <c r="BD32" s="55" t="s">
        <v>113</v>
      </c>
      <c r="BE32" s="55">
        <v>1</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11</v>
      </c>
      <c r="D33" s="55" t="s">
        <v>113</v>
      </c>
      <c r="E33" s="55" t="s">
        <v>113</v>
      </c>
      <c r="F33" s="55" t="s">
        <v>113</v>
      </c>
      <c r="G33" s="55">
        <v>1</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127</v>
      </c>
      <c r="V33" s="55" t="s">
        <v>113</v>
      </c>
      <c r="W33" s="55">
        <v>17</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6</v>
      </c>
      <c r="AZ33" s="55" t="s">
        <v>113</v>
      </c>
      <c r="BA33" s="55">
        <v>208</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11</v>
      </c>
      <c r="D34" s="55" t="s">
        <v>113</v>
      </c>
      <c r="E34" s="55" t="s">
        <v>113</v>
      </c>
      <c r="F34" s="55" t="s">
        <v>113</v>
      </c>
      <c r="G34" s="55">
        <v>1</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116</v>
      </c>
      <c r="V34" s="55" t="s">
        <v>113</v>
      </c>
      <c r="W34" s="55">
        <v>16</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6</v>
      </c>
      <c r="AZ34" s="55" t="s">
        <v>113</v>
      </c>
      <c r="BA34" s="55">
        <v>191</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5</v>
      </c>
      <c r="D35" s="55" t="s">
        <v>113</v>
      </c>
      <c r="E35" s="55" t="s">
        <v>113</v>
      </c>
      <c r="F35" s="55" t="s">
        <v>113</v>
      </c>
      <c r="G35" s="55">
        <v>4</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98</v>
      </c>
      <c r="V35" s="55" t="s">
        <v>113</v>
      </c>
      <c r="W35" s="55">
        <v>9</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4</v>
      </c>
      <c r="AZ35" s="55" t="s">
        <v>113</v>
      </c>
      <c r="BA35" s="55">
        <v>213</v>
      </c>
      <c r="BB35" s="55" t="s">
        <v>113</v>
      </c>
      <c r="BC35" s="55" t="s">
        <v>113</v>
      </c>
      <c r="BD35" s="55" t="s">
        <v>113</v>
      </c>
      <c r="BE35" s="55">
        <v>1</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5</v>
      </c>
      <c r="D36" s="55" t="s">
        <v>113</v>
      </c>
      <c r="E36" s="55" t="s">
        <v>113</v>
      </c>
      <c r="F36" s="55" t="s">
        <v>113</v>
      </c>
      <c r="G36" s="55">
        <v>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104</v>
      </c>
      <c r="V36" s="55" t="s">
        <v>113</v>
      </c>
      <c r="W36" s="55">
        <v>10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4</v>
      </c>
      <c r="AZ36" s="55" t="s">
        <v>113</v>
      </c>
      <c r="BA36" s="55">
        <v>168</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1</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2021-03-01T01:56:59Z</dcterms:modified>
</cp:coreProperties>
</file>