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1BF2EB2-6D54-480F-934B-22E302672475}"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75" i="6"/>
  <c r="Q67" i="6"/>
  <c r="Q282" i="6"/>
  <c r="Q202" i="6"/>
  <c r="Q162" i="6"/>
  <c r="Q106" i="6"/>
  <c r="Q90" i="6"/>
  <c r="Q50" i="6"/>
  <c r="Q280" i="6"/>
  <c r="Q177" i="6"/>
  <c r="Q110" i="6"/>
  <c r="Q71" i="6"/>
  <c r="Q190" i="6"/>
  <c r="Q73" i="6"/>
  <c r="Q48" i="6"/>
  <c r="Q302" i="6"/>
  <c r="Q238" i="6"/>
  <c r="Q199" i="6"/>
  <c r="Q96" i="6"/>
  <c r="Q248" i="6"/>
  <c r="Q303" i="6"/>
  <c r="Q278" i="6"/>
  <c r="Q239" i="6"/>
  <c r="Q225" i="6"/>
  <c r="Q200" i="6"/>
  <c r="Q175" i="6"/>
  <c r="Q150" i="6"/>
  <c r="Q111" i="6"/>
  <c r="Q97" i="6"/>
  <c r="Q224" i="6"/>
  <c r="Q46" i="6"/>
  <c r="Q272" i="6"/>
  <c r="Q244" i="6"/>
  <c r="Q81" i="6"/>
  <c r="Q233" i="6"/>
  <c r="Q286" i="6"/>
  <c r="Q256" i="6"/>
  <c r="Q118" i="6"/>
  <c r="Q246" i="6"/>
  <c r="Q64" i="6"/>
  <c r="Q95" i="6"/>
  <c r="Q223" i="6"/>
  <c r="Q296" i="6"/>
  <c r="Q206" i="6"/>
  <c r="Q54" i="6"/>
  <c r="Q180" i="6"/>
  <c r="Q104" i="6"/>
  <c r="H8" i="6"/>
  <c r="B4" i="7" s="1"/>
  <c r="O6" i="6"/>
  <c r="I66" i="4" l="1"/>
  <c r="I146" i="4"/>
  <c r="I226" i="4"/>
  <c r="I306" i="4"/>
  <c r="I6" i="4"/>
  <c r="I86" i="4"/>
  <c r="I166" i="4"/>
  <c r="I246" i="4"/>
  <c r="I26" i="4"/>
  <c r="I106" i="4"/>
  <c r="I186" i="4"/>
  <c r="I266" i="4"/>
  <c r="I46" i="4"/>
  <c r="I126" i="4"/>
  <c r="I206" i="4"/>
  <c r="I286" i="4"/>
  <c r="I406" i="4"/>
  <c r="I346" i="4"/>
  <c r="I326" i="4"/>
  <c r="I366" i="4"/>
  <c r="I386" i="4"/>
  <c r="I18" i="4"/>
  <c r="I98" i="4"/>
  <c r="I178" i="4"/>
  <c r="I258" i="4"/>
  <c r="I38" i="4"/>
  <c r="I118" i="4"/>
  <c r="I198" i="4"/>
  <c r="I278" i="4"/>
  <c r="I58" i="4"/>
  <c r="I138" i="4"/>
  <c r="I218" i="4"/>
  <c r="I298" i="4"/>
  <c r="I78" i="4"/>
  <c r="I158" i="4"/>
  <c r="I238" i="4"/>
  <c r="I358" i="4"/>
  <c r="I318" i="4"/>
  <c r="I378" i="4"/>
  <c r="I398" i="4"/>
  <c r="I338" i="4"/>
  <c r="I418" i="4"/>
  <c r="I23" i="4"/>
  <c r="I103" i="4"/>
  <c r="I183" i="4"/>
  <c r="I263" i="4"/>
  <c r="I43" i="4"/>
  <c r="I123" i="4"/>
  <c r="I203" i="4"/>
  <c r="I283" i="4"/>
  <c r="I63" i="4"/>
  <c r="I143" i="4"/>
  <c r="I223" i="4"/>
  <c r="I303" i="4"/>
  <c r="I343" i="4"/>
  <c r="I3" i="4"/>
  <c r="I83" i="4"/>
  <c r="I163" i="4"/>
  <c r="I243" i="4"/>
  <c r="I323" i="4"/>
  <c r="I363" i="4"/>
  <c r="I383" i="4"/>
  <c r="I403" i="4"/>
  <c r="I65" i="4"/>
  <c r="I145" i="4"/>
  <c r="I225" i="4"/>
  <c r="I5" i="4"/>
  <c r="I85" i="4"/>
  <c r="I165" i="4"/>
  <c r="I245" i="4"/>
  <c r="I325" i="4"/>
  <c r="I105" i="4"/>
  <c r="I265" i="4"/>
  <c r="I305" i="4"/>
  <c r="I385" i="4"/>
  <c r="I45" i="4"/>
  <c r="I205" i="4"/>
  <c r="I405" i="4"/>
  <c r="I25" i="4"/>
  <c r="I185" i="4"/>
  <c r="I345" i="4"/>
  <c r="I125" i="4"/>
  <c r="I285" i="4"/>
  <c r="I365" i="4"/>
  <c r="I33" i="4"/>
  <c r="I113" i="4"/>
  <c r="I193" i="4"/>
  <c r="I273" i="4"/>
  <c r="I53" i="4"/>
  <c r="I133" i="4"/>
  <c r="I213" i="4"/>
  <c r="I293" i="4"/>
  <c r="I73" i="4"/>
  <c r="I233" i="4"/>
  <c r="I353" i="4"/>
  <c r="I313" i="4"/>
  <c r="I13" i="4"/>
  <c r="I173" i="4"/>
  <c r="I373" i="4"/>
  <c r="I153" i="4"/>
  <c r="I333" i="4"/>
  <c r="I393" i="4"/>
  <c r="I93" i="4"/>
  <c r="I253" i="4"/>
  <c r="I413" i="4"/>
  <c r="I50" i="4"/>
  <c r="I130" i="4"/>
  <c r="I210" i="4"/>
  <c r="I290" i="4"/>
  <c r="I70" i="4"/>
  <c r="I150" i="4"/>
  <c r="I230" i="4"/>
  <c r="I310" i="4"/>
  <c r="I10" i="4"/>
  <c r="I90" i="4"/>
  <c r="I170" i="4"/>
  <c r="I250" i="4"/>
  <c r="I30" i="4"/>
  <c r="I110" i="4"/>
  <c r="I190" i="4"/>
  <c r="I270" i="4"/>
  <c r="I390" i="4"/>
  <c r="I330" i="4"/>
  <c r="I350" i="4"/>
  <c r="I410" i="4"/>
  <c r="I370" i="4"/>
  <c r="I7" i="4"/>
  <c r="I87" i="4"/>
  <c r="I167" i="4"/>
  <c r="I247" i="4"/>
  <c r="I327" i="4"/>
  <c r="I27" i="4"/>
  <c r="I107" i="4"/>
  <c r="I187" i="4"/>
  <c r="I267" i="4"/>
  <c r="I47" i="4"/>
  <c r="I127" i="4"/>
  <c r="I207" i="4"/>
  <c r="I287" i="4"/>
  <c r="I407" i="4"/>
  <c r="I67" i="4"/>
  <c r="I147" i="4"/>
  <c r="I227" i="4"/>
  <c r="I307" i="4"/>
  <c r="I347" i="4"/>
  <c r="I387" i="4"/>
  <c r="I367" i="4"/>
  <c r="I60" i="4"/>
  <c r="I140" i="4"/>
  <c r="I220" i="4"/>
  <c r="I80" i="4"/>
  <c r="I160" i="4"/>
  <c r="I240" i="4"/>
  <c r="I20" i="4"/>
  <c r="I100" i="4"/>
  <c r="I180" i="4"/>
  <c r="I260" i="4"/>
  <c r="I340" i="4"/>
  <c r="I420" i="4"/>
  <c r="I40" i="4"/>
  <c r="I120" i="4"/>
  <c r="I200" i="4"/>
  <c r="I280" i="4"/>
  <c r="I320" i="4"/>
  <c r="I360" i="4"/>
  <c r="I300" i="4"/>
  <c r="I380" i="4"/>
  <c r="I400" i="4"/>
  <c r="I2" i="4"/>
  <c r="I82" i="4"/>
  <c r="I162" i="4"/>
  <c r="I242" i="4"/>
  <c r="I22" i="4"/>
  <c r="I102" i="4"/>
  <c r="I182" i="4"/>
  <c r="I262" i="4"/>
  <c r="I42" i="4"/>
  <c r="I122" i="4"/>
  <c r="I202" i="4"/>
  <c r="I282" i="4"/>
  <c r="I62" i="4"/>
  <c r="I142" i="4"/>
  <c r="I222" i="4"/>
  <c r="I302" i="4"/>
  <c r="I342" i="4"/>
  <c r="I322" i="4"/>
  <c r="I362" i="4"/>
  <c r="I382" i="4"/>
  <c r="I402" i="4"/>
  <c r="I34" i="4"/>
  <c r="I114" i="4"/>
  <c r="I194" i="4"/>
  <c r="I274" i="4"/>
  <c r="I54" i="4"/>
  <c r="I134" i="4"/>
  <c r="I214" i="4"/>
  <c r="I294" i="4"/>
  <c r="I74" i="4"/>
  <c r="I154" i="4"/>
  <c r="I234" i="4"/>
  <c r="I314" i="4"/>
  <c r="I14" i="4"/>
  <c r="I94" i="4"/>
  <c r="I174" i="4"/>
  <c r="I254" i="4"/>
  <c r="I374" i="4"/>
  <c r="I394" i="4"/>
  <c r="I414" i="4"/>
  <c r="I334" i="4"/>
  <c r="I354" i="4"/>
  <c r="I71" i="4"/>
  <c r="I151" i="4"/>
  <c r="I231" i="4"/>
  <c r="I311" i="4"/>
  <c r="I11" i="4"/>
  <c r="I91" i="4"/>
  <c r="I171" i="4"/>
  <c r="I251" i="4"/>
  <c r="I331" i="4"/>
  <c r="I31" i="4"/>
  <c r="I111" i="4"/>
  <c r="I191" i="4"/>
  <c r="I271" i="4"/>
  <c r="I391" i="4"/>
  <c r="I51" i="4"/>
  <c r="I131" i="4"/>
  <c r="I211" i="4"/>
  <c r="I291" i="4"/>
  <c r="I351" i="4"/>
  <c r="I411" i="4"/>
  <c r="I371" i="4"/>
  <c r="I28" i="4"/>
  <c r="I108" i="4"/>
  <c r="I188" i="4"/>
  <c r="I268" i="4"/>
  <c r="I48" i="4"/>
  <c r="I128" i="4"/>
  <c r="I208" i="4"/>
  <c r="I68" i="4"/>
  <c r="I148" i="4"/>
  <c r="I228" i="4"/>
  <c r="I308" i="4"/>
  <c r="I8" i="4"/>
  <c r="I88" i="4"/>
  <c r="I168" i="4"/>
  <c r="I248" i="4"/>
  <c r="I328" i="4"/>
  <c r="I388" i="4"/>
  <c r="I288" i="4"/>
  <c r="I408" i="4"/>
  <c r="I348" i="4"/>
  <c r="I368" i="4"/>
  <c r="I44" i="4"/>
  <c r="I124" i="4"/>
  <c r="I204" i="4"/>
  <c r="I64" i="4"/>
  <c r="I144" i="4"/>
  <c r="I224" i="4"/>
  <c r="I4" i="4"/>
  <c r="I84" i="4"/>
  <c r="I164" i="4"/>
  <c r="I244" i="4"/>
  <c r="I324" i="4"/>
  <c r="I24" i="4"/>
  <c r="I104" i="4"/>
  <c r="I184" i="4"/>
  <c r="I264" i="4"/>
  <c r="I284" i="4"/>
  <c r="I404" i="4"/>
  <c r="I344" i="4"/>
  <c r="I364" i="4"/>
  <c r="I304" i="4"/>
  <c r="I384" i="4"/>
  <c r="I12" i="4"/>
  <c r="I92" i="4"/>
  <c r="I172" i="4"/>
  <c r="I252" i="4"/>
  <c r="I32" i="4"/>
  <c r="I112" i="4"/>
  <c r="I192" i="4"/>
  <c r="I272" i="4"/>
  <c r="I52" i="4"/>
  <c r="I132" i="4"/>
  <c r="I212" i="4"/>
  <c r="I292" i="4"/>
  <c r="I72" i="4"/>
  <c r="I152" i="4"/>
  <c r="I232" i="4"/>
  <c r="I312" i="4"/>
  <c r="I372" i="4"/>
  <c r="I392" i="4"/>
  <c r="I332" i="4"/>
  <c r="I412" i="4"/>
  <c r="I352" i="4"/>
  <c r="I55" i="4"/>
  <c r="I135" i="4"/>
  <c r="I215" i="4"/>
  <c r="I295" i="4"/>
  <c r="I75" i="4"/>
  <c r="I155" i="4"/>
  <c r="I235" i="4"/>
  <c r="I315" i="4"/>
  <c r="I15" i="4"/>
  <c r="I95" i="4"/>
  <c r="I175" i="4"/>
  <c r="I255" i="4"/>
  <c r="I375" i="4"/>
  <c r="I35" i="4"/>
  <c r="I115" i="4"/>
  <c r="I195" i="4"/>
  <c r="I275" i="4"/>
  <c r="I395" i="4"/>
  <c r="I335" i="4"/>
  <c r="I355" i="4"/>
  <c r="I415" i="4"/>
  <c r="I49" i="4"/>
  <c r="I129" i="4"/>
  <c r="I209" i="4"/>
  <c r="I289" i="4"/>
  <c r="I69" i="4"/>
  <c r="I149" i="4"/>
  <c r="I229" i="4"/>
  <c r="I9" i="4"/>
  <c r="I169" i="4"/>
  <c r="I369" i="4"/>
  <c r="I109" i="4"/>
  <c r="I269" i="4"/>
  <c r="I309" i="4"/>
  <c r="I389" i="4"/>
  <c r="I89" i="4"/>
  <c r="I249" i="4"/>
  <c r="I409" i="4"/>
  <c r="I29" i="4"/>
  <c r="I189" i="4"/>
  <c r="I329" i="4"/>
  <c r="I349" i="4"/>
  <c r="I81" i="4"/>
  <c r="I161" i="4"/>
  <c r="I241" i="4"/>
  <c r="I21" i="4"/>
  <c r="I101" i="4"/>
  <c r="I181" i="4"/>
  <c r="I261" i="4"/>
  <c r="I41" i="4"/>
  <c r="I201" i="4"/>
  <c r="I401" i="4"/>
  <c r="I141" i="4"/>
  <c r="I301" i="4"/>
  <c r="I341" i="4"/>
  <c r="I421" i="4"/>
  <c r="I121" i="4"/>
  <c r="I281" i="4"/>
  <c r="I321" i="4"/>
  <c r="I361" i="4"/>
  <c r="I61" i="4"/>
  <c r="I221" i="4"/>
  <c r="I381" i="4"/>
  <c r="I17" i="4"/>
  <c r="I97" i="4"/>
  <c r="I177" i="4"/>
  <c r="I257" i="4"/>
  <c r="I317" i="4"/>
  <c r="I37" i="4"/>
  <c r="I117" i="4"/>
  <c r="I197" i="4"/>
  <c r="I277" i="4"/>
  <c r="I137" i="4"/>
  <c r="I297" i="4"/>
  <c r="I417" i="4"/>
  <c r="I77" i="4"/>
  <c r="I237" i="4"/>
  <c r="I357" i="4"/>
  <c r="I57" i="4"/>
  <c r="I217" i="4"/>
  <c r="I377" i="4"/>
  <c r="I157" i="4"/>
  <c r="I397" i="4"/>
  <c r="I337" i="4"/>
  <c r="I76" i="4"/>
  <c r="I156" i="4"/>
  <c r="I236" i="4"/>
  <c r="I16" i="4"/>
  <c r="I96" i="4"/>
  <c r="I176" i="4"/>
  <c r="I256" i="4"/>
  <c r="I36" i="4"/>
  <c r="I116" i="4"/>
  <c r="I196" i="4"/>
  <c r="I276" i="4"/>
  <c r="I56" i="4"/>
  <c r="I136" i="4"/>
  <c r="I216" i="4"/>
  <c r="I296" i="4"/>
  <c r="I316" i="4"/>
  <c r="I356" i="4"/>
  <c r="I376" i="4"/>
  <c r="I396" i="4"/>
  <c r="I336" i="4"/>
  <c r="I416" i="4"/>
  <c r="I39" i="4"/>
  <c r="I119" i="4"/>
  <c r="I199" i="4"/>
  <c r="I279" i="4"/>
  <c r="I59" i="4"/>
  <c r="I139" i="4"/>
  <c r="I219" i="4"/>
  <c r="I299" i="4"/>
  <c r="I79" i="4"/>
  <c r="I159" i="4"/>
  <c r="I239" i="4"/>
  <c r="I319" i="4"/>
  <c r="I359" i="4"/>
  <c r="I19" i="4"/>
  <c r="I99" i="4"/>
  <c r="I179" i="4"/>
  <c r="I259" i="4"/>
  <c r="I379" i="4"/>
  <c r="I339" i="4"/>
  <c r="I39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<sst xmlns="http://schemas.openxmlformats.org/spreadsheetml/2006/main" count="7970" uniqueCount="170">
  <si>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</si>
  <si>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</si>
  <si>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</si>
  <si>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</si>
  <si>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</si>
  <si>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</si>
  <si>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</si>
  <si>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</si>
  <si>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</si>
  <si>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</si>
  <si>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</si>
  <si>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</si>
  <si>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</si>
  <si>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</si>
  <si>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</si>
  <si>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</si>
  <si>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</si>
  <si>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</si>
  <si>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</si>
  <si>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</si>
  <si>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</si>
  <si>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</si>
  <si>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</si>
  <si>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</si>
  <si>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</si>
  <si>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</si>
  <si>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</si>
  <si>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</si>
  <si>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</si>
  <si>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</si>
  <si>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</si>
  <si>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</si>
  <si>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</si>
  <si>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</si>
  <si>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</si>
  <si>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</si>
  <si>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</si>
  <si>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</si>
  <si>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</si>
  <si>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</si>
  <si>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</si>
  <si>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</si>
  <si>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</si>
  <si>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</si>
  <si>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</si>
  <si>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</si>
  <si>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</si>
  <si>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</si>
  <si>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</si>
  <si>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</si>
  <si>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</si>
  <si>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</si>
  <si>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</si>
  <si>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</si>
  <si>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</si>
  <si>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</si>
  <si>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</si>
  <si>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</si>
  <si>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</si>
  <si>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</si>
  <si>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</si>
  <si>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</si>
  <si>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</si>
  <si>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</si>
  <si>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</si>
  <si>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</si>
  <si>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</si>
  <si>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</si>
  <si>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</si>
  <si>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</si>
  <si>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</si>
  <si>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</si>
  <si>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</si>
  <si>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</si>
  <si>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</si>
  <si>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</si>
  <si>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</si>
  <si>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</si>
  <si>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</si>
  <si>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</si>
  <si>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</si>
  <si>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</si>
  <si>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</si>
  <si>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</si>
  <si>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</si>
  <si>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</si>
  <si>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</si>
  <si>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</si>
  <si>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</si>
  <si>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</si>
  <si>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</si>
  <si>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</si>
  <si>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Hoon Hay Road_Rose Street_Intersection</t>
  </si>
  <si>
    <t>Rose Street East</t>
  </si>
  <si>
    <t>Hoon Hay Road South</t>
  </si>
  <si>
    <t>Hoon Hay Road North</t>
  </si>
  <si>
    <t>Hard Left into Hoon Hay Road South</t>
  </si>
  <si>
    <t>Bear Right into Hoon Hay Road North</t>
  </si>
  <si>
    <t>Thru to Hoon Hay Road North</t>
  </si>
  <si>
    <t>Hard Right into Rose Street East</t>
  </si>
  <si>
    <t>U-Turn</t>
  </si>
  <si>
    <t>Bear Left into Rose Street East</t>
  </si>
  <si>
    <t>Thru to Hoon Hay Road South</t>
  </si>
  <si>
    <t>Hoon Hay Road_Rose Street_Intersection      Fine      18/11/2021</t>
  </si>
  <si>
    <t>Rose Street East Total</t>
  </si>
  <si>
    <t>Hoon Hay Road South Total</t>
  </si>
  <si>
    <t>Hoon Hay Road North Total</t>
  </si>
  <si>
    <t>Hard Left into Hoon Hay Road South Total</t>
  </si>
  <si>
    <t>Bear Right into Hoon Hay Road North Total</t>
  </si>
  <si>
    <t>Thru to Hoon Hay Road North Total</t>
  </si>
  <si>
    <t>Hard Right into Rose Street East Total</t>
  </si>
  <si>
    <t>U-Turn Total</t>
  </si>
  <si>
    <t>Bear Left into Rose Street East Total</t>
  </si>
  <si>
    <t>Thru to Hoon Hay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</si>
  <si>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</si>
  <si>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</si>
  <si>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</si>
  <si>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</si>
  <si>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</si>
  <si>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</si>
  <si>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</si>
  <si>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</si>
  <si>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</si>
  <si>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</si>
  <si>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</si>
  <si>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</si>
  <si>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</si>
  <si>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</si>
  <si>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</si>
  <si>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</si>
  <si>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</si>
  <si>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</si>
  <si>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</si>
  <si>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</si>
  <si>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</si>
  <si>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</si>
  <si>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</si>
  <si>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</si>
  <si>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</si>
  <si>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</si>
  <si>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</si>
  <si>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</si>
  <si>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</si>
  <si>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</si>
  <si>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</si>
  <si>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</si>
  <si>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</si>
  <si>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</si>
  <si>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</si>
  <si>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</si>
  <si>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</si>
  <si>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</si>
  <si>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</si>
  <si>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</si>
  <si>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Hoon Hay Rd Southbound</t>
  </si>
  <si>
    <t>n/a</t>
  </si>
  <si>
    <t>Hoon Hay Rd Northbound</t>
  </si>
  <si>
    <t>Rose St</t>
  </si>
  <si>
    <t>Lights</t>
  </si>
  <si>
    <t>Classification</t>
  </si>
  <si>
    <t>Road</t>
  </si>
  <si>
    <t>Type</t>
  </si>
  <si>
    <t>Project</t>
  </si>
  <si>
    <t>Site Code</t>
  </si>
  <si>
    <t>11/18/2021</t>
  </si>
  <si>
    <t>Start Date</t>
  </si>
  <si>
    <t>CCC I2046 Hoon Hay Rd - Rose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</si>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</sst>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939BED2-FF39-49DC-AC21-238BDFE6844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[I2046_Hoon Hay Road_Rose Street_Intersection_18-11-2021.xlsx]Graphs!pvtGraphApproach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Hoon Hay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41</c:v>
                </c:pt>
                <c:pt idx="2">
                  <c:v>62</c:v>
                </c:pt>
                <c:pt idx="3">
                  <c:v>65</c:v>
                </c:pt>
                <c:pt idx="4">
                  <c:v>80</c:v>
                </c:pt>
                <c:pt idx="5">
                  <c:v>69</c:v>
                </c:pt>
                <c:pt idx="6">
                  <c:v>85</c:v>
                </c:pt>
                <c:pt idx="7">
                  <c:v>77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Hoon Hay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87</c:v>
                </c:pt>
                <c:pt idx="1">
                  <c:v>113</c:v>
                </c:pt>
                <c:pt idx="2">
                  <c:v>148</c:v>
                </c:pt>
                <c:pt idx="3">
                  <c:v>125</c:v>
                </c:pt>
                <c:pt idx="4">
                  <c:v>160</c:v>
                </c:pt>
                <c:pt idx="5">
                  <c:v>172</c:v>
                </c:pt>
                <c:pt idx="6">
                  <c:v>155</c:v>
                </c:pt>
                <c:pt idx="7">
                  <c:v>102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Rose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26</c:v>
                </c:pt>
                <c:pt idx="2">
                  <c:v>34</c:v>
                </c:pt>
                <c:pt idx="3">
                  <c:v>32</c:v>
                </c:pt>
                <c:pt idx="4">
                  <c:v>41</c:v>
                </c:pt>
                <c:pt idx="5">
                  <c:v>32</c:v>
                </c:pt>
                <c:pt idx="6">
                  <c:v>66</c:v>
                </c:pt>
                <c:pt idx="7">
                  <c:v>38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[I2046_Hoon Hay Road_Rose Street_Intersection_18-11-2021.xlsx]Graphs!pvtGraphExit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1</c:v>
                </c:pt>
                <c:pt idx="4">
                  <c:v>0</c:v>
                </c:pt>
                <c:pt idx="5">
                  <c:v>0</c:v>
                </c:pt>
                <c:pt idx="6">
                  <c:v>0</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Hoon Hay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94</c:v>
                </c:pt>
                <c:pt idx="2">
                  <c:v>117</c:v>
                </c:pt>
                <c:pt idx="3">
                  <c:v>90</c:v>
                </c:pt>
                <c:pt idx="4">
                  <c:v>130</c:v>
                </c:pt>
                <c:pt idx="5">
                  <c:v>128</c:v>
                </c:pt>
                <c:pt idx="6">
                  <c:v>137</c:v>
                </c:pt>
                <c:pt idx="7">
                  <c:v>77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Hoon Hay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c:v>
                </c:pt>
                <c:pt idx="1">
                  <c:v>26</c:v>
                </c:pt>
                <c:pt idx="2">
                  <c:v>41</c:v>
                </c:pt>
                <c:pt idx="3">
                  <c:v>49</c:v>
                </c:pt>
                <c:pt idx="4">
                  <c:v>49</c:v>
                </c:pt>
                <c:pt idx="5">
                  <c:v>39</c:v>
                </c:pt>
                <c:pt idx="6">
                  <c:v>62</c:v>
                </c:pt>
                <c:pt idx="7">
                  <c:v>64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Rose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c:v>
                </c:pt>
                <c:pt idx="1">
                  <c:v>60</c:v>
                </c:pt>
                <c:pt idx="2">
                  <c:v>86</c:v>
                </c:pt>
                <c:pt idx="3">
                  <c:v>82</c:v>
                </c:pt>
                <c:pt idx="4">
                  <c:v>102</c:v>
                </c:pt>
                <c:pt idx="5">
                  <c:v>106</c:v>
                </c:pt>
                <c:pt idx="6">
                  <c:v>107</c:v>
                </c:pt>
                <c:pt idx="7">
                  <c:v>75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[I2046_Hoon Hay Road_Rose Street_Intersection_18-11-2021.xlsx]GraphData!PivotTable2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151</c:v>
                </c:pt>
                <c:pt idx="1">
                  <c:v>180</c:v>
                </c:pt>
                <c:pt idx="2">
                  <c:v>244</c:v>
                </c:pt>
                <c:pt idx="3">
                  <c:v>222</c:v>
                </c:pt>
                <c:pt idx="4">
                  <c:v>281</c:v>
                </c:pt>
                <c:pt idx="5">
                  <c:v>273</c:v>
                </c:pt>
                <c:pt idx="6">
                  <c:v>306</c:v>
                </c:pt>
                <c:pt idx="7">
                  <c:v>217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[I2046_Hoon Hay Road_Rose Street_Intersection_18-11-2021.xlsx]PeakCalc!pvtPeak2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151</c:v>
                </c:pt>
                <c:pt idx="1">
                  <c:v>180</c:v>
                </c:pt>
                <c:pt idx="2">
                  <c:v>244</c:v>
                </c:pt>
                <c:pt idx="3">
                  <c:v>222</c:v>
                </c:pt>
                <c:pt idx="4">
                  <c:v>281</c:v>
                </c:pt>
                <c:pt idx="5">
                  <c:v>273</c:v>
                </c:pt>
                <c:pt idx="6">
                  <c:v>306</c:v>
                </c:pt>
                <c:pt idx="7">
                  <c:v>217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222</c:v>
                </c:pt>
                <c:pt idx="4">
                  <c:v>281</c:v>
                </c:pt>
                <c:pt idx="5">
                  <c:v>273</c:v>
                </c:pt>
                <c:pt idx="6">
                  <c:v>306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140809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256117</xdr:colOff>
      <xdr:row>5</xdr:row>
      <xdr:rowOff>3175</xdr:rowOff>
    </xdr:from>
    <xdr:to>
      <xdr:col>21</xdr:col>
      <xdr:colOff>1126117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170099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52.4421452546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9"/>
    </cacheField>
    <cacheField name="Peak" numFmtId="0">
      <sharedItems containsSemiMixedTypes="0" containsString="0" containsNumber="1" containsInteger="1" minValue="0" maxValue="31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52.442240856479" createdVersion="5" refreshedVersion="7" minRefreshableVersion="3" recordCount="420" xr:uid="{00000000-000A-0000-FFFF-FFFF01000000}">
  <cacheSource type="worksheet">
    <worksheetSource name="tblPivotData"/>
  </cacheSource>
  <cacheFields count="9">
    <cacheField name="Approach" numFmtId="0">
      <sharedItems count="6">
        <s v="Rose Street East"/>
        <s v="Hoon Hay Road South"/>
        <s v="Hoon Hay Road North"/>
        <s v="Great south Rd (North)" u="1"/>
        <s v="Great south Rd (South)" u="1"/>
        <s v="Grange Rd" u="1"/>
      </sharedItems>
    </cacheField>
    <cacheField name="Movement" numFmtId="0">
      <sharedItems count="15">
        <s v="Hard Left into Hoon Hay Road South"/>
        <s v="Bear Right into Hoon Hay Road North"/>
        <s v="Thru to Hoon Hay Road North"/>
        <s v="Hard Right into Rose Street East"/>
        <s v="U-Turn"/>
        <s v="Bear Left into Rose Street East"/>
        <s v="Thru to Hoon Hay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4">
        <s v="Hoon Hay Road South"/>
        <s v="Hoon Hay Road North"/>
        <s v="Rose Street East"/>
        <n v="0"/>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0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1"/>
    <n v="0"/>
  </r>
  <r>
    <x v="0"/>
    <x v="1"/>
    <n v="180"/>
    <n v="0"/>
  </r>
  <r>
    <x v="0"/>
    <x v="2"/>
    <n v="244"/>
    <n v="0"/>
  </r>
  <r>
    <x v="0"/>
    <x v="3"/>
    <n v="222"/>
    <n v="222"/>
  </r>
  <r>
    <x v="0"/>
    <x v="4"/>
    <n v="281"/>
    <n v="281"/>
  </r>
  <r>
    <x v="0"/>
    <x v="5"/>
    <n v="273"/>
    <n v="273"/>
  </r>
  <r>
    <x v="0"/>
    <x v="6"/>
    <n v="306"/>
    <n v="306"/>
  </r>
  <r>
    <x v="0"/>
    <x v="7"/>
    <n v="217"/>
    <n v="0"/>
  </r>
  <r>
    <x v="1"/>
    <x v="8"/>
    <n v="160"/>
    <n v="160"/>
  </r>
  <r>
    <x v="1"/>
    <x v="9"/>
    <n v="119"/>
    <n v="119"/>
  </r>
  <r>
    <x v="1"/>
    <x v="10"/>
    <n v="151"/>
    <n v="151"/>
  </r>
  <r>
    <x v="1"/>
    <x v="11"/>
    <n v="164"/>
    <n v="164"/>
  </r>
  <r>
    <x v="2"/>
    <x v="12"/>
    <n v="230"/>
    <n v="0"/>
  </r>
  <r>
    <x v="2"/>
    <x v="13"/>
    <n v="234"/>
    <n v="0"/>
  </r>
  <r>
    <x v="2"/>
    <x v="14"/>
    <n v="295"/>
    <n v="0"/>
  </r>
  <r>
    <x v="2"/>
    <x v="15"/>
    <n v="318"/>
    <n v="318"/>
  </r>
  <r>
    <x v="2"/>
    <x v="16"/>
    <n v="289"/>
    <n v="289"/>
  </r>
  <r>
    <x v="2"/>
    <x v="17"/>
    <n v="283"/>
    <n v="283"/>
  </r>
  <r>
    <x v="2"/>
    <x v="18"/>
    <n v="319"/>
    <n v="319"/>
  </r>
  <r>
    <x v="2"/>
    <x v="19"/>
    <n v="26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3"/>
    <x v="0"/>
    <x v="0"/>
  </r>
  <r>
    <x v="0"/>
    <x v="0"/>
    <x v="0"/>
    <x v="0"/>
    <x v="0"/>
    <x v="1"/>
    <n v="3"/>
    <x v="1"/>
    <x v="0"/>
  </r>
  <r>
    <x v="0"/>
    <x v="0"/>
    <x v="0"/>
    <x v="0"/>
    <x v="0"/>
    <x v="2"/>
    <n v="5"/>
    <x v="2"/>
    <x v="0"/>
  </r>
  <r>
    <x v="0"/>
    <x v="0"/>
    <x v="0"/>
    <x v="0"/>
    <x v="0"/>
    <x v="3"/>
    <n v="14"/>
    <x v="3"/>
    <x v="1"/>
  </r>
  <r>
    <x v="0"/>
    <x v="0"/>
    <x v="0"/>
    <x v="0"/>
    <x v="0"/>
    <x v="4"/>
    <n v="9"/>
    <x v="4"/>
    <x v="1"/>
  </r>
  <r>
    <x v="0"/>
    <x v="0"/>
    <x v="0"/>
    <x v="0"/>
    <x v="0"/>
    <x v="5"/>
    <n v="11"/>
    <x v="5"/>
    <x v="1"/>
  </r>
  <r>
    <x v="0"/>
    <x v="0"/>
    <x v="0"/>
    <x v="0"/>
    <x v="0"/>
    <x v="6"/>
    <n v="19"/>
    <x v="6"/>
    <x v="1"/>
  </r>
  <r>
    <x v="0"/>
    <x v="0"/>
    <x v="0"/>
    <x v="0"/>
    <x v="0"/>
    <x v="7"/>
    <n v="19"/>
    <x v="7"/>
    <x v="0"/>
  </r>
  <r>
    <x v="0"/>
    <x v="0"/>
    <x v="0"/>
    <x v="0"/>
    <x v="1"/>
    <x v="8"/>
    <n v="23"/>
    <x v="8"/>
    <x v="1"/>
  </r>
  <r>
    <x v="0"/>
    <x v="0"/>
    <x v="0"/>
    <x v="0"/>
    <x v="1"/>
    <x v="9"/>
    <n v="21"/>
    <x v="9"/>
    <x v="1"/>
  </r>
  <r>
    <x v="0"/>
    <x v="0"/>
    <x v="0"/>
    <x v="0"/>
    <x v="1"/>
    <x v="10"/>
    <n v="20"/>
    <x v="10"/>
    <x v="1"/>
  </r>
  <r>
    <x v="0"/>
    <x v="0"/>
    <x v="0"/>
    <x v="0"/>
    <x v="1"/>
    <x v="11"/>
    <n v="25"/>
    <x v="11"/>
    <x v="1"/>
  </r>
  <r>
    <x v="0"/>
    <x v="0"/>
    <x v="0"/>
    <x v="0"/>
    <x v="2"/>
    <x v="12"/>
    <n v="37"/>
    <x v="12"/>
    <x v="0"/>
  </r>
  <r>
    <x v="0"/>
    <x v="0"/>
    <x v="0"/>
    <x v="0"/>
    <x v="2"/>
    <x v="13"/>
    <n v="31"/>
    <x v="13"/>
    <x v="0"/>
  </r>
  <r>
    <x v="0"/>
    <x v="0"/>
    <x v="0"/>
    <x v="0"/>
    <x v="2"/>
    <x v="14"/>
    <n v="55"/>
    <x v="14"/>
    <x v="0"/>
  </r>
  <r>
    <x v="0"/>
    <x v="0"/>
    <x v="0"/>
    <x v="0"/>
    <x v="2"/>
    <x v="15"/>
    <n v="51"/>
    <x v="15"/>
    <x v="1"/>
  </r>
  <r>
    <x v="0"/>
    <x v="0"/>
    <x v="0"/>
    <x v="0"/>
    <x v="2"/>
    <x v="16"/>
    <n v="46"/>
    <x v="16"/>
    <x v="1"/>
  </r>
  <r>
    <x v="0"/>
    <x v="0"/>
    <x v="0"/>
    <x v="0"/>
    <x v="2"/>
    <x v="17"/>
    <n v="54"/>
    <x v="17"/>
    <x v="1"/>
  </r>
  <r>
    <x v="0"/>
    <x v="0"/>
    <x v="0"/>
    <x v="0"/>
    <x v="2"/>
    <x v="18"/>
    <n v="59"/>
    <x v="18"/>
    <x v="1"/>
  </r>
  <r>
    <x v="0"/>
    <x v="0"/>
    <x v="0"/>
    <x v="0"/>
    <x v="2"/>
    <x v="19"/>
    <n v="62"/>
    <x v="19"/>
    <x v="0"/>
  </r>
  <r>
    <x v="0"/>
    <x v="0"/>
    <x v="0"/>
    <x v="1"/>
    <x v="0"/>
    <x v="0"/>
    <n v="4"/>
    <x v="0"/>
    <x v="0"/>
  </r>
  <r>
    <x v="0"/>
    <x v="0"/>
    <x v="0"/>
    <x v="1"/>
    <x v="0"/>
    <x v="1"/>
    <n v="1"/>
    <x v="1"/>
    <x v="0"/>
  </r>
  <r>
    <x v="0"/>
    <x v="0"/>
    <x v="0"/>
    <x v="1"/>
    <x v="0"/>
    <x v="2"/>
    <n v="3"/>
    <x v="2"/>
    <x v="0"/>
  </r>
  <r>
    <x v="0"/>
    <x v="0"/>
    <x v="0"/>
    <x v="1"/>
    <x v="0"/>
    <x v="3"/>
    <n v="2"/>
    <x v="3"/>
    <x v="1"/>
  </r>
  <r>
    <x v="0"/>
    <x v="0"/>
    <x v="0"/>
    <x v="1"/>
    <x v="0"/>
    <x v="4"/>
    <n v="3"/>
    <x v="4"/>
    <x v="1"/>
  </r>
  <r>
    <x v="0"/>
    <x v="0"/>
    <x v="0"/>
    <x v="1"/>
    <x v="0"/>
    <x v="5"/>
    <n v="1"/>
    <x v="5"/>
    <x v="1"/>
  </r>
  <r>
    <x v="0"/>
    <x v="0"/>
    <x v="0"/>
    <x v="1"/>
    <x v="0"/>
    <x v="6"/>
    <n v="6"/>
    <x v="6"/>
    <x v="1"/>
  </r>
  <r>
    <x v="0"/>
    <x v="0"/>
    <x v="0"/>
    <x v="1"/>
    <x v="0"/>
    <x v="7"/>
    <n v="3"/>
    <x v="7"/>
    <x v="0"/>
  </r>
  <r>
    <x v="0"/>
    <x v="0"/>
    <x v="0"/>
    <x v="1"/>
    <x v="1"/>
    <x v="8"/>
    <n v="3"/>
    <x v="8"/>
    <x v="1"/>
  </r>
  <r>
    <x v="0"/>
    <x v="0"/>
    <x v="0"/>
    <x v="1"/>
    <x v="1"/>
    <x v="9"/>
    <n v="1"/>
    <x v="9"/>
    <x v="1"/>
  </r>
  <r>
    <x v="0"/>
    <x v="0"/>
    <x v="0"/>
    <x v="1"/>
    <x v="1"/>
    <x v="10"/>
    <n v="3"/>
    <x v="10"/>
    <x v="1"/>
  </r>
  <r>
    <x v="0"/>
    <x v="0"/>
    <x v="0"/>
    <x v="1"/>
    <x v="1"/>
    <x v="11"/>
    <n v="2"/>
    <x v="11"/>
    <x v="1"/>
  </r>
  <r>
    <x v="0"/>
    <x v="0"/>
    <x v="0"/>
    <x v="1"/>
    <x v="2"/>
    <x v="12"/>
    <n v="3"/>
    <x v="12"/>
    <x v="0"/>
  </r>
  <r>
    <x v="0"/>
    <x v="0"/>
    <x v="0"/>
    <x v="1"/>
    <x v="2"/>
    <x v="13"/>
    <n v="3"/>
    <x v="13"/>
    <x v="0"/>
  </r>
  <r>
    <x v="0"/>
    <x v="0"/>
    <x v="0"/>
    <x v="1"/>
    <x v="2"/>
    <x v="14"/>
    <n v="2"/>
    <x v="14"/>
    <x v="0"/>
  </r>
  <r>
    <x v="0"/>
    <x v="0"/>
    <x v="0"/>
    <x v="1"/>
    <x v="2"/>
    <x v="15"/>
    <n v="2"/>
    <x v="15"/>
    <x v="1"/>
  </r>
  <r>
    <x v="0"/>
    <x v="0"/>
    <x v="0"/>
    <x v="1"/>
    <x v="2"/>
    <x v="16"/>
    <n v="2"/>
    <x v="16"/>
    <x v="1"/>
  </r>
  <r>
    <x v="0"/>
    <x v="0"/>
    <x v="0"/>
    <x v="1"/>
    <x v="2"/>
    <x v="17"/>
    <n v="1"/>
    <x v="17"/>
    <x v="1"/>
  </r>
  <r>
    <x v="0"/>
    <x v="0"/>
    <x v="0"/>
    <x v="1"/>
    <x v="2"/>
    <x v="18"/>
    <n v="3"/>
    <x v="18"/>
    <x v="1"/>
  </r>
  <r>
    <x v="0"/>
    <x v="0"/>
    <x v="0"/>
    <x v="1"/>
    <x v="2"/>
    <x v="19"/>
    <n v="3"/>
    <x v="19"/>
    <x v="0"/>
  </r>
  <r>
    <x v="0"/>
    <x v="0"/>
    <x v="0"/>
    <x v="2"/>
    <x v="0"/>
    <x v="0"/>
    <n v="0"/>
    <x v="0"/>
    <x v="0"/>
  </r>
  <r>
    <x v="0"/>
    <x v="0"/>
    <x v="0"/>
    <x v="2"/>
    <x v="0"/>
    <x v="1"/>
    <n v="0"/>
    <x v="1"/>
    <x v="0"/>
  </r>
  <r>
    <x v="0"/>
    <x v="0"/>
    <x v="0"/>
    <x v="2"/>
    <x v="0"/>
    <x v="2"/>
    <n v="1"/>
    <x v="2"/>
    <x v="0"/>
  </r>
  <r>
    <x v="0"/>
    <x v="0"/>
    <x v="0"/>
    <x v="2"/>
    <x v="0"/>
    <x v="3"/>
    <n v="1"/>
    <x v="3"/>
    <x v="1"/>
  </r>
  <r>
    <x v="0"/>
    <x v="0"/>
    <x v="0"/>
    <x v="2"/>
    <x v="0"/>
    <x v="4"/>
    <n v="0"/>
    <x v="4"/>
    <x v="1"/>
  </r>
  <r>
    <x v="0"/>
    <x v="0"/>
    <x v="0"/>
    <x v="2"/>
    <x v="0"/>
    <x v="5"/>
    <n v="0"/>
    <x v="5"/>
    <x v="1"/>
  </r>
  <r>
    <x v="0"/>
    <x v="0"/>
    <x v="0"/>
    <x v="2"/>
    <x v="0"/>
    <x v="6"/>
    <n v="0"/>
    <x v="6"/>
    <x v="1"/>
  </r>
  <r>
    <x v="0"/>
    <x v="0"/>
    <x v="0"/>
    <x v="2"/>
    <x v="0"/>
    <x v="7"/>
    <n v="0"/>
    <x v="7"/>
    <x v="0"/>
  </r>
  <r>
    <x v="0"/>
    <x v="0"/>
    <x v="0"/>
    <x v="2"/>
    <x v="1"/>
    <x v="8"/>
    <n v="1"/>
    <x v="8"/>
    <x v="1"/>
  </r>
  <r>
    <x v="0"/>
    <x v="0"/>
    <x v="0"/>
    <x v="2"/>
    <x v="1"/>
    <x v="9"/>
    <n v="1"/>
    <x v="9"/>
    <x v="1"/>
  </r>
  <r>
    <x v="0"/>
    <x v="0"/>
    <x v="0"/>
    <x v="2"/>
    <x v="1"/>
    <x v="10"/>
    <n v="0"/>
    <x v="10"/>
    <x v="1"/>
  </r>
  <r>
    <x v="0"/>
    <x v="0"/>
    <x v="0"/>
    <x v="2"/>
    <x v="1"/>
    <x v="11"/>
    <n v="0"/>
    <x v="11"/>
    <x v="1"/>
  </r>
  <r>
    <x v="0"/>
    <x v="0"/>
    <x v="0"/>
    <x v="2"/>
    <x v="2"/>
    <x v="12"/>
    <n v="2"/>
    <x v="12"/>
    <x v="0"/>
  </r>
  <r>
    <x v="0"/>
    <x v="0"/>
    <x v="0"/>
    <x v="2"/>
    <x v="2"/>
    <x v="13"/>
    <n v="3"/>
    <x v="13"/>
    <x v="0"/>
  </r>
  <r>
    <x v="0"/>
    <x v="0"/>
    <x v="0"/>
    <x v="2"/>
    <x v="2"/>
    <x v="14"/>
    <n v="3"/>
    <x v="14"/>
    <x v="0"/>
  </r>
  <r>
    <x v="0"/>
    <x v="0"/>
    <x v="0"/>
    <x v="2"/>
    <x v="2"/>
    <x v="15"/>
    <n v="5"/>
    <x v="15"/>
    <x v="1"/>
  </r>
  <r>
    <x v="0"/>
    <x v="0"/>
    <x v="0"/>
    <x v="2"/>
    <x v="2"/>
    <x v="16"/>
    <n v="9"/>
    <x v="16"/>
    <x v="1"/>
  </r>
  <r>
    <x v="0"/>
    <x v="0"/>
    <x v="0"/>
    <x v="2"/>
    <x v="2"/>
    <x v="17"/>
    <n v="7"/>
    <x v="17"/>
    <x v="1"/>
  </r>
  <r>
    <x v="0"/>
    <x v="0"/>
    <x v="0"/>
    <x v="2"/>
    <x v="2"/>
    <x v="18"/>
    <n v="5"/>
    <x v="18"/>
    <x v="1"/>
  </r>
  <r>
    <x v="0"/>
    <x v="0"/>
    <x v="0"/>
    <x v="2"/>
    <x v="2"/>
    <x v="19"/>
    <n v="3"/>
    <x v="19"/>
    <x v="0"/>
  </r>
  <r>
    <x v="0"/>
    <x v="1"/>
    <x v="1"/>
    <x v="0"/>
    <x v="0"/>
    <x v="0"/>
    <n v="18"/>
    <x v="0"/>
    <x v="0"/>
  </r>
  <r>
    <x v="0"/>
    <x v="1"/>
    <x v="1"/>
    <x v="0"/>
    <x v="0"/>
    <x v="1"/>
    <n v="20"/>
    <x v="1"/>
    <x v="0"/>
  </r>
  <r>
    <x v="0"/>
    <x v="1"/>
    <x v="1"/>
    <x v="0"/>
    <x v="0"/>
    <x v="2"/>
    <n v="24"/>
    <x v="2"/>
    <x v="0"/>
  </r>
  <r>
    <x v="0"/>
    <x v="1"/>
    <x v="1"/>
    <x v="0"/>
    <x v="0"/>
    <x v="3"/>
    <n v="13"/>
    <x v="3"/>
    <x v="1"/>
  </r>
  <r>
    <x v="0"/>
    <x v="1"/>
    <x v="1"/>
    <x v="0"/>
    <x v="0"/>
    <x v="4"/>
    <n v="28"/>
    <x v="4"/>
    <x v="1"/>
  </r>
  <r>
    <x v="0"/>
    <x v="1"/>
    <x v="1"/>
    <x v="0"/>
    <x v="0"/>
    <x v="5"/>
    <n v="20"/>
    <x v="5"/>
    <x v="1"/>
  </r>
  <r>
    <x v="0"/>
    <x v="1"/>
    <x v="1"/>
    <x v="0"/>
    <x v="0"/>
    <x v="6"/>
    <n v="40"/>
    <x v="6"/>
    <x v="1"/>
  </r>
  <r>
    <x v="0"/>
    <x v="1"/>
    <x v="1"/>
    <x v="0"/>
    <x v="0"/>
    <x v="7"/>
    <n v="16"/>
    <x v="7"/>
    <x v="0"/>
  </r>
  <r>
    <x v="0"/>
    <x v="1"/>
    <x v="1"/>
    <x v="0"/>
    <x v="1"/>
    <x v="8"/>
    <n v="18"/>
    <x v="8"/>
    <x v="1"/>
  </r>
  <r>
    <x v="0"/>
    <x v="1"/>
    <x v="1"/>
    <x v="0"/>
    <x v="1"/>
    <x v="9"/>
    <n v="12"/>
    <x v="9"/>
    <x v="1"/>
  </r>
  <r>
    <x v="0"/>
    <x v="1"/>
    <x v="1"/>
    <x v="0"/>
    <x v="1"/>
    <x v="10"/>
    <n v="12"/>
    <x v="10"/>
    <x v="1"/>
  </r>
  <r>
    <x v="0"/>
    <x v="1"/>
    <x v="1"/>
    <x v="0"/>
    <x v="1"/>
    <x v="11"/>
    <n v="15"/>
    <x v="11"/>
    <x v="1"/>
  </r>
  <r>
    <x v="0"/>
    <x v="1"/>
    <x v="1"/>
    <x v="0"/>
    <x v="2"/>
    <x v="12"/>
    <n v="23"/>
    <x v="12"/>
    <x v="0"/>
  </r>
  <r>
    <x v="0"/>
    <x v="1"/>
    <x v="1"/>
    <x v="0"/>
    <x v="2"/>
    <x v="13"/>
    <n v="18"/>
    <x v="13"/>
    <x v="0"/>
  </r>
  <r>
    <x v="0"/>
    <x v="1"/>
    <x v="1"/>
    <x v="0"/>
    <x v="2"/>
    <x v="14"/>
    <n v="35"/>
    <x v="14"/>
    <x v="0"/>
  </r>
  <r>
    <x v="0"/>
    <x v="1"/>
    <x v="1"/>
    <x v="0"/>
    <x v="2"/>
    <x v="15"/>
    <n v="27"/>
    <x v="15"/>
    <x v="1"/>
  </r>
  <r>
    <x v="0"/>
    <x v="1"/>
    <x v="1"/>
    <x v="0"/>
    <x v="2"/>
    <x v="16"/>
    <n v="25"/>
    <x v="16"/>
    <x v="1"/>
  </r>
  <r>
    <x v="0"/>
    <x v="1"/>
    <x v="1"/>
    <x v="0"/>
    <x v="2"/>
    <x v="17"/>
    <n v="28"/>
    <x v="17"/>
    <x v="1"/>
  </r>
  <r>
    <x v="0"/>
    <x v="1"/>
    <x v="1"/>
    <x v="0"/>
    <x v="2"/>
    <x v="18"/>
    <n v="25"/>
    <x v="18"/>
    <x v="1"/>
  </r>
  <r>
    <x v="0"/>
    <x v="1"/>
    <x v="1"/>
    <x v="0"/>
    <x v="2"/>
    <x v="19"/>
    <n v="19"/>
    <x v="19"/>
    <x v="0"/>
  </r>
  <r>
    <x v="0"/>
    <x v="1"/>
    <x v="1"/>
    <x v="1"/>
    <x v="0"/>
    <x v="0"/>
    <n v="0"/>
    <x v="0"/>
    <x v="0"/>
  </r>
  <r>
    <x v="0"/>
    <x v="1"/>
    <x v="1"/>
    <x v="1"/>
    <x v="0"/>
    <x v="1"/>
    <n v="0"/>
    <x v="1"/>
    <x v="0"/>
  </r>
  <r>
    <x v="0"/>
    <x v="1"/>
    <x v="1"/>
    <x v="1"/>
    <x v="0"/>
    <x v="2"/>
    <n v="0"/>
    <x v="2"/>
    <x v="0"/>
  </r>
  <r>
    <x v="0"/>
    <x v="1"/>
    <x v="1"/>
    <x v="1"/>
    <x v="0"/>
    <x v="3"/>
    <n v="1"/>
    <x v="3"/>
    <x v="1"/>
  </r>
  <r>
    <x v="0"/>
    <x v="1"/>
    <x v="1"/>
    <x v="1"/>
    <x v="0"/>
    <x v="4"/>
    <n v="0"/>
    <x v="4"/>
    <x v="1"/>
  </r>
  <r>
    <x v="0"/>
    <x v="1"/>
    <x v="1"/>
    <x v="1"/>
    <x v="0"/>
    <x v="5"/>
    <n v="0"/>
    <x v="5"/>
    <x v="1"/>
  </r>
  <r>
    <x v="0"/>
    <x v="1"/>
    <x v="1"/>
    <x v="1"/>
    <x v="0"/>
    <x v="6"/>
    <n v="1"/>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1"/>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2"/>
    <x v="1"/>
    <x v="0"/>
  </r>
  <r>
    <x v="0"/>
    <x v="1"/>
    <x v="1"/>
    <x v="2"/>
    <x v="0"/>
    <x v="2"/>
    <n v="1"/>
    <x v="2"/>
    <x v="0"/>
  </r>
  <r>
    <x v="0"/>
    <x v="1"/>
    <x v="1"/>
    <x v="2"/>
    <x v="0"/>
    <x v="3"/>
    <n v="1"/>
    <x v="3"/>
    <x v="1"/>
  </r>
  <r>
    <x v="0"/>
    <x v="1"/>
    <x v="1"/>
    <x v="2"/>
    <x v="0"/>
    <x v="4"/>
    <n v="1"/>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1"/>
    <x v="16"/>
    <x v="1"/>
  </r>
  <r>
    <x v="0"/>
    <x v="1"/>
    <x v="1"/>
    <x v="2"/>
    <x v="2"/>
    <x v="17"/>
    <n v="0"/>
    <x v="17"/>
    <x v="1"/>
  </r>
  <r>
    <x v="0"/>
    <x v="1"/>
    <x v="1"/>
    <x v="2"/>
    <x v="2"/>
    <x v="18"/>
    <n v="0"/>
    <x v="18"/>
    <x v="1"/>
  </r>
  <r>
    <x v="0"/>
    <x v="1"/>
    <x v="1"/>
    <x v="2"/>
    <x v="2"/>
    <x v="19"/>
    <n v="0"/>
    <x v="19"/>
    <x v="0"/>
  </r>
  <r>
    <x v="1"/>
    <x v="2"/>
    <x v="1"/>
    <x v="0"/>
    <x v="0"/>
    <x v="0"/>
    <n v="57"/>
    <x v="0"/>
    <x v="0"/>
  </r>
  <r>
    <x v="1"/>
    <x v="2"/>
    <x v="1"/>
    <x v="0"/>
    <x v="0"/>
    <x v="1"/>
    <n v="71"/>
    <x v="1"/>
    <x v="0"/>
  </r>
  <r>
    <x v="1"/>
    <x v="2"/>
    <x v="1"/>
    <x v="0"/>
    <x v="0"/>
    <x v="2"/>
    <n v="89"/>
    <x v="2"/>
    <x v="0"/>
  </r>
  <r>
    <x v="1"/>
    <x v="2"/>
    <x v="1"/>
    <x v="0"/>
    <x v="0"/>
    <x v="3"/>
    <n v="74"/>
    <x v="3"/>
    <x v="1"/>
  </r>
  <r>
    <x v="1"/>
    <x v="2"/>
    <x v="1"/>
    <x v="0"/>
    <x v="0"/>
    <x v="4"/>
    <n v="95"/>
    <x v="4"/>
    <x v="1"/>
  </r>
  <r>
    <x v="1"/>
    <x v="2"/>
    <x v="1"/>
    <x v="0"/>
    <x v="0"/>
    <x v="5"/>
    <n v="100"/>
    <x v="5"/>
    <x v="1"/>
  </r>
  <r>
    <x v="1"/>
    <x v="2"/>
    <x v="1"/>
    <x v="0"/>
    <x v="0"/>
    <x v="6"/>
    <n v="92"/>
    <x v="6"/>
    <x v="1"/>
  </r>
  <r>
    <x v="1"/>
    <x v="2"/>
    <x v="1"/>
    <x v="0"/>
    <x v="0"/>
    <x v="7"/>
    <n v="60"/>
    <x v="7"/>
    <x v="0"/>
  </r>
  <r>
    <x v="1"/>
    <x v="2"/>
    <x v="1"/>
    <x v="0"/>
    <x v="1"/>
    <x v="8"/>
    <n v="45"/>
    <x v="8"/>
    <x v="1"/>
  </r>
  <r>
    <x v="1"/>
    <x v="2"/>
    <x v="1"/>
    <x v="0"/>
    <x v="1"/>
    <x v="9"/>
    <n v="26"/>
    <x v="9"/>
    <x v="1"/>
  </r>
  <r>
    <x v="1"/>
    <x v="2"/>
    <x v="1"/>
    <x v="0"/>
    <x v="1"/>
    <x v="10"/>
    <n v="43"/>
    <x v="10"/>
    <x v="1"/>
  </r>
  <r>
    <x v="1"/>
    <x v="2"/>
    <x v="1"/>
    <x v="0"/>
    <x v="1"/>
    <x v="11"/>
    <n v="43"/>
    <x v="11"/>
    <x v="1"/>
  </r>
  <r>
    <x v="1"/>
    <x v="2"/>
    <x v="1"/>
    <x v="0"/>
    <x v="2"/>
    <x v="12"/>
    <n v="45"/>
    <x v="12"/>
    <x v="0"/>
  </r>
  <r>
    <x v="1"/>
    <x v="2"/>
    <x v="1"/>
    <x v="0"/>
    <x v="2"/>
    <x v="13"/>
    <n v="50"/>
    <x v="13"/>
    <x v="0"/>
  </r>
  <r>
    <x v="1"/>
    <x v="2"/>
    <x v="1"/>
    <x v="0"/>
    <x v="2"/>
    <x v="14"/>
    <n v="61"/>
    <x v="14"/>
    <x v="0"/>
  </r>
  <r>
    <x v="1"/>
    <x v="2"/>
    <x v="1"/>
    <x v="0"/>
    <x v="2"/>
    <x v="15"/>
    <n v="55"/>
    <x v="15"/>
    <x v="1"/>
  </r>
  <r>
    <x v="1"/>
    <x v="2"/>
    <x v="1"/>
    <x v="0"/>
    <x v="2"/>
    <x v="16"/>
    <n v="59"/>
    <x v="16"/>
    <x v="1"/>
  </r>
  <r>
    <x v="1"/>
    <x v="2"/>
    <x v="1"/>
    <x v="0"/>
    <x v="2"/>
    <x v="17"/>
    <n v="64"/>
    <x v="17"/>
    <x v="1"/>
  </r>
  <r>
    <x v="1"/>
    <x v="2"/>
    <x v="1"/>
    <x v="0"/>
    <x v="2"/>
    <x v="18"/>
    <n v="54"/>
    <x v="18"/>
    <x v="1"/>
  </r>
  <r>
    <x v="1"/>
    <x v="2"/>
    <x v="1"/>
    <x v="0"/>
    <x v="2"/>
    <x v="19"/>
    <n v="58"/>
    <x v="19"/>
    <x v="0"/>
  </r>
  <r>
    <x v="1"/>
    <x v="2"/>
    <x v="1"/>
    <x v="1"/>
    <x v="0"/>
    <x v="0"/>
    <n v="2"/>
    <x v="0"/>
    <x v="0"/>
  </r>
  <r>
    <x v="1"/>
    <x v="2"/>
    <x v="1"/>
    <x v="1"/>
    <x v="0"/>
    <x v="1"/>
    <n v="0"/>
    <x v="1"/>
    <x v="0"/>
  </r>
  <r>
    <x v="1"/>
    <x v="2"/>
    <x v="1"/>
    <x v="1"/>
    <x v="0"/>
    <x v="2"/>
    <n v="0"/>
    <x v="2"/>
    <x v="0"/>
  </r>
  <r>
    <x v="1"/>
    <x v="2"/>
    <x v="1"/>
    <x v="1"/>
    <x v="0"/>
    <x v="3"/>
    <n v="0"/>
    <x v="3"/>
    <x v="1"/>
  </r>
  <r>
    <x v="1"/>
    <x v="2"/>
    <x v="1"/>
    <x v="1"/>
    <x v="0"/>
    <x v="4"/>
    <n v="3"/>
    <x v="4"/>
    <x v="1"/>
  </r>
  <r>
    <x v="1"/>
    <x v="2"/>
    <x v="1"/>
    <x v="1"/>
    <x v="0"/>
    <x v="5"/>
    <n v="1"/>
    <x v="5"/>
    <x v="1"/>
  </r>
  <r>
    <x v="1"/>
    <x v="2"/>
    <x v="1"/>
    <x v="1"/>
    <x v="0"/>
    <x v="6"/>
    <n v="3"/>
    <x v="6"/>
    <x v="1"/>
  </r>
  <r>
    <x v="1"/>
    <x v="2"/>
    <x v="1"/>
    <x v="1"/>
    <x v="0"/>
    <x v="7"/>
    <n v="0"/>
    <x v="7"/>
    <x v="0"/>
  </r>
  <r>
    <x v="1"/>
    <x v="2"/>
    <x v="1"/>
    <x v="1"/>
    <x v="1"/>
    <x v="8"/>
    <n v="3"/>
    <x v="8"/>
    <x v="1"/>
  </r>
  <r>
    <x v="1"/>
    <x v="2"/>
    <x v="1"/>
    <x v="1"/>
    <x v="1"/>
    <x v="9"/>
    <n v="3"/>
    <x v="9"/>
    <x v="1"/>
  </r>
  <r>
    <x v="1"/>
    <x v="2"/>
    <x v="1"/>
    <x v="1"/>
    <x v="1"/>
    <x v="10"/>
    <n v="1"/>
    <x v="10"/>
    <x v="1"/>
  </r>
  <r>
    <x v="1"/>
    <x v="2"/>
    <x v="1"/>
    <x v="1"/>
    <x v="1"/>
    <x v="11"/>
    <n v="2"/>
    <x v="11"/>
    <x v="1"/>
  </r>
  <r>
    <x v="1"/>
    <x v="2"/>
    <x v="1"/>
    <x v="1"/>
    <x v="2"/>
    <x v="12"/>
    <n v="0"/>
    <x v="12"/>
    <x v="0"/>
  </r>
  <r>
    <x v="1"/>
    <x v="2"/>
    <x v="1"/>
    <x v="1"/>
    <x v="2"/>
    <x v="13"/>
    <n v="1"/>
    <x v="13"/>
    <x v="0"/>
  </r>
  <r>
    <x v="1"/>
    <x v="2"/>
    <x v="1"/>
    <x v="1"/>
    <x v="2"/>
    <x v="14"/>
    <n v="4"/>
    <x v="14"/>
    <x v="0"/>
  </r>
  <r>
    <x v="1"/>
    <x v="2"/>
    <x v="1"/>
    <x v="1"/>
    <x v="2"/>
    <x v="15"/>
    <n v="0"/>
    <x v="15"/>
    <x v="1"/>
  </r>
  <r>
    <x v="1"/>
    <x v="2"/>
    <x v="1"/>
    <x v="1"/>
    <x v="2"/>
    <x v="16"/>
    <n v="1"/>
    <x v="16"/>
    <x v="1"/>
  </r>
  <r>
    <x v="1"/>
    <x v="2"/>
    <x v="1"/>
    <x v="1"/>
    <x v="2"/>
    <x v="17"/>
    <n v="3"/>
    <x v="17"/>
    <x v="1"/>
  </r>
  <r>
    <x v="1"/>
    <x v="2"/>
    <x v="1"/>
    <x v="1"/>
    <x v="2"/>
    <x v="18"/>
    <n v="1"/>
    <x v="18"/>
    <x v="1"/>
  </r>
  <r>
    <x v="1"/>
    <x v="2"/>
    <x v="1"/>
    <x v="1"/>
    <x v="2"/>
    <x v="19"/>
    <n v="1"/>
    <x v="19"/>
    <x v="0"/>
  </r>
  <r>
    <x v="1"/>
    <x v="2"/>
    <x v="1"/>
    <x v="2"/>
    <x v="0"/>
    <x v="0"/>
    <n v="1"/>
    <x v="0"/>
    <x v="0"/>
  </r>
  <r>
    <x v="1"/>
    <x v="2"/>
    <x v="1"/>
    <x v="2"/>
    <x v="0"/>
    <x v="1"/>
    <n v="1"/>
    <x v="1"/>
    <x v="0"/>
  </r>
  <r>
    <x v="1"/>
    <x v="2"/>
    <x v="1"/>
    <x v="2"/>
    <x v="0"/>
    <x v="2"/>
    <n v="3"/>
    <x v="2"/>
    <x v="0"/>
  </r>
  <r>
    <x v="1"/>
    <x v="2"/>
    <x v="1"/>
    <x v="2"/>
    <x v="0"/>
    <x v="3"/>
    <n v="1"/>
    <x v="3"/>
    <x v="1"/>
  </r>
  <r>
    <x v="1"/>
    <x v="2"/>
    <x v="1"/>
    <x v="2"/>
    <x v="0"/>
    <x v="4"/>
    <n v="3"/>
    <x v="4"/>
    <x v="1"/>
  </r>
  <r>
    <x v="1"/>
    <x v="2"/>
    <x v="1"/>
    <x v="2"/>
    <x v="0"/>
    <x v="5"/>
    <n v="7"/>
    <x v="5"/>
    <x v="1"/>
  </r>
  <r>
    <x v="1"/>
    <x v="2"/>
    <x v="1"/>
    <x v="2"/>
    <x v="0"/>
    <x v="6"/>
    <n v="1"/>
    <x v="6"/>
    <x v="1"/>
  </r>
  <r>
    <x v="1"/>
    <x v="2"/>
    <x v="1"/>
    <x v="2"/>
    <x v="0"/>
    <x v="7"/>
    <n v="1"/>
    <x v="7"/>
    <x v="0"/>
  </r>
  <r>
    <x v="1"/>
    <x v="2"/>
    <x v="1"/>
    <x v="2"/>
    <x v="1"/>
    <x v="8"/>
    <n v="1"/>
    <x v="8"/>
    <x v="1"/>
  </r>
  <r>
    <x v="1"/>
    <x v="2"/>
    <x v="1"/>
    <x v="2"/>
    <x v="1"/>
    <x v="9"/>
    <n v="0"/>
    <x v="9"/>
    <x v="1"/>
  </r>
  <r>
    <x v="1"/>
    <x v="2"/>
    <x v="1"/>
    <x v="2"/>
    <x v="1"/>
    <x v="10"/>
    <n v="0"/>
    <x v="10"/>
    <x v="1"/>
  </r>
  <r>
    <x v="1"/>
    <x v="2"/>
    <x v="1"/>
    <x v="2"/>
    <x v="1"/>
    <x v="11"/>
    <n v="1"/>
    <x v="11"/>
    <x v="1"/>
  </r>
  <r>
    <x v="1"/>
    <x v="2"/>
    <x v="1"/>
    <x v="2"/>
    <x v="2"/>
    <x v="12"/>
    <n v="2"/>
    <x v="12"/>
    <x v="0"/>
  </r>
  <r>
    <x v="1"/>
    <x v="2"/>
    <x v="1"/>
    <x v="2"/>
    <x v="2"/>
    <x v="13"/>
    <n v="0"/>
    <x v="13"/>
    <x v="0"/>
  </r>
  <r>
    <x v="1"/>
    <x v="2"/>
    <x v="1"/>
    <x v="2"/>
    <x v="2"/>
    <x v="14"/>
    <n v="0"/>
    <x v="14"/>
    <x v="0"/>
  </r>
  <r>
    <x v="1"/>
    <x v="2"/>
    <x v="1"/>
    <x v="2"/>
    <x v="2"/>
    <x v="15"/>
    <n v="0"/>
    <x v="15"/>
    <x v="1"/>
  </r>
  <r>
    <x v="1"/>
    <x v="2"/>
    <x v="1"/>
    <x v="2"/>
    <x v="2"/>
    <x v="16"/>
    <n v="1"/>
    <x v="16"/>
    <x v="1"/>
  </r>
  <r>
    <x v="1"/>
    <x v="2"/>
    <x v="1"/>
    <x v="2"/>
    <x v="2"/>
    <x v="17"/>
    <n v="1"/>
    <x v="17"/>
    <x v="1"/>
  </r>
  <r>
    <x v="1"/>
    <x v="2"/>
    <x v="1"/>
    <x v="2"/>
    <x v="2"/>
    <x v="18"/>
    <n v="2"/>
    <x v="18"/>
    <x v="1"/>
  </r>
  <r>
    <x v="1"/>
    <x v="2"/>
    <x v="1"/>
    <x v="2"/>
    <x v="2"/>
    <x v="19"/>
    <n v="1"/>
    <x v="19"/>
    <x v="0"/>
  </r>
  <r>
    <x v="1"/>
    <x v="3"/>
    <x v="2"/>
    <x v="0"/>
    <x v="0"/>
    <x v="0"/>
    <n v="22"/>
    <x v="0"/>
    <x v="0"/>
  </r>
  <r>
    <x v="1"/>
    <x v="3"/>
    <x v="2"/>
    <x v="0"/>
    <x v="0"/>
    <x v="1"/>
    <n v="38"/>
    <x v="1"/>
    <x v="0"/>
  </r>
  <r>
    <x v="1"/>
    <x v="3"/>
    <x v="2"/>
    <x v="0"/>
    <x v="0"/>
    <x v="2"/>
    <n v="45"/>
    <x v="2"/>
    <x v="0"/>
  </r>
  <r>
    <x v="1"/>
    <x v="3"/>
    <x v="2"/>
    <x v="0"/>
    <x v="0"/>
    <x v="3"/>
    <n v="44"/>
    <x v="3"/>
    <x v="1"/>
  </r>
  <r>
    <x v="1"/>
    <x v="3"/>
    <x v="2"/>
    <x v="0"/>
    <x v="0"/>
    <x v="4"/>
    <n v="49"/>
    <x v="4"/>
    <x v="1"/>
  </r>
  <r>
    <x v="1"/>
    <x v="3"/>
    <x v="2"/>
    <x v="0"/>
    <x v="0"/>
    <x v="5"/>
    <n v="59"/>
    <x v="5"/>
    <x v="1"/>
  </r>
  <r>
    <x v="1"/>
    <x v="3"/>
    <x v="2"/>
    <x v="0"/>
    <x v="0"/>
    <x v="6"/>
    <n v="56"/>
    <x v="6"/>
    <x v="1"/>
  </r>
  <r>
    <x v="1"/>
    <x v="3"/>
    <x v="2"/>
    <x v="0"/>
    <x v="0"/>
    <x v="7"/>
    <n v="37"/>
    <x v="7"/>
    <x v="0"/>
  </r>
  <r>
    <x v="1"/>
    <x v="3"/>
    <x v="2"/>
    <x v="0"/>
    <x v="1"/>
    <x v="8"/>
    <n v="9"/>
    <x v="8"/>
    <x v="1"/>
  </r>
  <r>
    <x v="1"/>
    <x v="3"/>
    <x v="2"/>
    <x v="0"/>
    <x v="1"/>
    <x v="9"/>
    <n v="10"/>
    <x v="9"/>
    <x v="1"/>
  </r>
  <r>
    <x v="1"/>
    <x v="3"/>
    <x v="2"/>
    <x v="0"/>
    <x v="1"/>
    <x v="10"/>
    <n v="21"/>
    <x v="10"/>
    <x v="1"/>
  </r>
  <r>
    <x v="1"/>
    <x v="3"/>
    <x v="2"/>
    <x v="0"/>
    <x v="1"/>
    <x v="11"/>
    <n v="18"/>
    <x v="11"/>
    <x v="1"/>
  </r>
  <r>
    <x v="1"/>
    <x v="3"/>
    <x v="2"/>
    <x v="0"/>
    <x v="2"/>
    <x v="12"/>
    <n v="20"/>
    <x v="12"/>
    <x v="0"/>
  </r>
  <r>
    <x v="1"/>
    <x v="3"/>
    <x v="2"/>
    <x v="0"/>
    <x v="2"/>
    <x v="13"/>
    <n v="30"/>
    <x v="13"/>
    <x v="0"/>
  </r>
  <r>
    <x v="1"/>
    <x v="3"/>
    <x v="2"/>
    <x v="0"/>
    <x v="2"/>
    <x v="14"/>
    <n v="26"/>
    <x v="14"/>
    <x v="0"/>
  </r>
  <r>
    <x v="1"/>
    <x v="3"/>
    <x v="2"/>
    <x v="0"/>
    <x v="2"/>
    <x v="15"/>
    <n v="24"/>
    <x v="15"/>
    <x v="1"/>
  </r>
  <r>
    <x v="1"/>
    <x v="3"/>
    <x v="2"/>
    <x v="0"/>
    <x v="2"/>
    <x v="16"/>
    <n v="21"/>
    <x v="16"/>
    <x v="1"/>
  </r>
  <r>
    <x v="1"/>
    <x v="3"/>
    <x v="2"/>
    <x v="0"/>
    <x v="2"/>
    <x v="17"/>
    <n v="18"/>
    <x v="17"/>
    <x v="1"/>
  </r>
  <r>
    <x v="1"/>
    <x v="3"/>
    <x v="2"/>
    <x v="0"/>
    <x v="2"/>
    <x v="18"/>
    <n v="20"/>
    <x v="18"/>
    <x v="1"/>
  </r>
  <r>
    <x v="1"/>
    <x v="3"/>
    <x v="2"/>
    <x v="0"/>
    <x v="2"/>
    <x v="19"/>
    <n v="19"/>
    <x v="19"/>
    <x v="0"/>
  </r>
  <r>
    <x v="1"/>
    <x v="3"/>
    <x v="2"/>
    <x v="1"/>
    <x v="0"/>
    <x v="0"/>
    <n v="2"/>
    <x v="0"/>
    <x v="0"/>
  </r>
  <r>
    <x v="1"/>
    <x v="3"/>
    <x v="2"/>
    <x v="1"/>
    <x v="0"/>
    <x v="1"/>
    <n v="2"/>
    <x v="1"/>
    <x v="0"/>
  </r>
  <r>
    <x v="1"/>
    <x v="3"/>
    <x v="2"/>
    <x v="1"/>
    <x v="0"/>
    <x v="2"/>
    <n v="4"/>
    <x v="2"/>
    <x v="0"/>
  </r>
  <r>
    <x v="1"/>
    <x v="3"/>
    <x v="2"/>
    <x v="1"/>
    <x v="0"/>
    <x v="3"/>
    <n v="1"/>
    <x v="3"/>
    <x v="1"/>
  </r>
  <r>
    <x v="1"/>
    <x v="3"/>
    <x v="2"/>
    <x v="1"/>
    <x v="0"/>
    <x v="4"/>
    <n v="3"/>
    <x v="4"/>
    <x v="1"/>
  </r>
  <r>
    <x v="1"/>
    <x v="3"/>
    <x v="2"/>
    <x v="1"/>
    <x v="0"/>
    <x v="5"/>
    <n v="3"/>
    <x v="5"/>
    <x v="1"/>
  </r>
  <r>
    <x v="1"/>
    <x v="3"/>
    <x v="2"/>
    <x v="1"/>
    <x v="0"/>
    <x v="6"/>
    <n v="2"/>
    <x v="6"/>
    <x v="1"/>
  </r>
  <r>
    <x v="1"/>
    <x v="3"/>
    <x v="2"/>
    <x v="1"/>
    <x v="0"/>
    <x v="7"/>
    <n v="2"/>
    <x v="7"/>
    <x v="0"/>
  </r>
  <r>
    <x v="1"/>
    <x v="3"/>
    <x v="2"/>
    <x v="1"/>
    <x v="1"/>
    <x v="8"/>
    <n v="3"/>
    <x v="8"/>
    <x v="1"/>
  </r>
  <r>
    <x v="1"/>
    <x v="3"/>
    <x v="2"/>
    <x v="1"/>
    <x v="1"/>
    <x v="9"/>
    <n v="3"/>
    <x v="9"/>
    <x v="1"/>
  </r>
  <r>
    <x v="1"/>
    <x v="3"/>
    <x v="2"/>
    <x v="1"/>
    <x v="1"/>
    <x v="10"/>
    <n v="2"/>
    <x v="10"/>
    <x v="1"/>
  </r>
  <r>
    <x v="1"/>
    <x v="3"/>
    <x v="2"/>
    <x v="1"/>
    <x v="1"/>
    <x v="11"/>
    <n v="3"/>
    <x v="11"/>
    <x v="1"/>
  </r>
  <r>
    <x v="1"/>
    <x v="3"/>
    <x v="2"/>
    <x v="1"/>
    <x v="2"/>
    <x v="12"/>
    <n v="3"/>
    <x v="12"/>
    <x v="0"/>
  </r>
  <r>
    <x v="1"/>
    <x v="3"/>
    <x v="2"/>
    <x v="1"/>
    <x v="2"/>
    <x v="13"/>
    <n v="1"/>
    <x v="13"/>
    <x v="0"/>
  </r>
  <r>
    <x v="1"/>
    <x v="3"/>
    <x v="2"/>
    <x v="1"/>
    <x v="2"/>
    <x v="14"/>
    <n v="4"/>
    <x v="14"/>
    <x v="0"/>
  </r>
  <r>
    <x v="1"/>
    <x v="3"/>
    <x v="2"/>
    <x v="1"/>
    <x v="2"/>
    <x v="15"/>
    <n v="1"/>
    <x v="15"/>
    <x v="1"/>
  </r>
  <r>
    <x v="1"/>
    <x v="3"/>
    <x v="2"/>
    <x v="1"/>
    <x v="2"/>
    <x v="16"/>
    <n v="3"/>
    <x v="16"/>
    <x v="1"/>
  </r>
  <r>
    <x v="1"/>
    <x v="3"/>
    <x v="2"/>
    <x v="1"/>
    <x v="2"/>
    <x v="17"/>
    <n v="1"/>
    <x v="17"/>
    <x v="1"/>
  </r>
  <r>
    <x v="1"/>
    <x v="3"/>
    <x v="2"/>
    <x v="1"/>
    <x v="2"/>
    <x v="18"/>
    <n v="3"/>
    <x v="18"/>
    <x v="1"/>
  </r>
  <r>
    <x v="1"/>
    <x v="3"/>
    <x v="2"/>
    <x v="1"/>
    <x v="2"/>
    <x v="19"/>
    <n v="4"/>
    <x v="19"/>
    <x v="0"/>
  </r>
  <r>
    <x v="1"/>
    <x v="3"/>
    <x v="2"/>
    <x v="2"/>
    <x v="0"/>
    <x v="0"/>
    <n v="3"/>
    <x v="0"/>
    <x v="0"/>
  </r>
  <r>
    <x v="1"/>
    <x v="3"/>
    <x v="2"/>
    <x v="2"/>
    <x v="0"/>
    <x v="1"/>
    <n v="1"/>
    <x v="1"/>
    <x v="0"/>
  </r>
  <r>
    <x v="1"/>
    <x v="3"/>
    <x v="2"/>
    <x v="2"/>
    <x v="0"/>
    <x v="2"/>
    <n v="7"/>
    <x v="2"/>
    <x v="0"/>
  </r>
  <r>
    <x v="1"/>
    <x v="3"/>
    <x v="2"/>
    <x v="2"/>
    <x v="0"/>
    <x v="3"/>
    <n v="4"/>
    <x v="3"/>
    <x v="1"/>
  </r>
  <r>
    <x v="1"/>
    <x v="3"/>
    <x v="2"/>
    <x v="2"/>
    <x v="0"/>
    <x v="4"/>
    <n v="7"/>
    <x v="4"/>
    <x v="1"/>
  </r>
  <r>
    <x v="1"/>
    <x v="3"/>
    <x v="2"/>
    <x v="2"/>
    <x v="0"/>
    <x v="5"/>
    <n v="2"/>
    <x v="5"/>
    <x v="1"/>
  </r>
  <r>
    <x v="1"/>
    <x v="3"/>
    <x v="2"/>
    <x v="2"/>
    <x v="0"/>
    <x v="6"/>
    <n v="1"/>
    <x v="6"/>
    <x v="1"/>
  </r>
  <r>
    <x v="1"/>
    <x v="3"/>
    <x v="2"/>
    <x v="2"/>
    <x v="0"/>
    <x v="7"/>
    <n v="1"/>
    <x v="7"/>
    <x v="0"/>
  </r>
  <r>
    <x v="1"/>
    <x v="3"/>
    <x v="2"/>
    <x v="2"/>
    <x v="1"/>
    <x v="8"/>
    <n v="3"/>
    <x v="8"/>
    <x v="1"/>
  </r>
  <r>
    <x v="1"/>
    <x v="3"/>
    <x v="2"/>
    <x v="2"/>
    <x v="1"/>
    <x v="9"/>
    <n v="0"/>
    <x v="9"/>
    <x v="1"/>
  </r>
  <r>
    <x v="1"/>
    <x v="3"/>
    <x v="2"/>
    <x v="2"/>
    <x v="1"/>
    <x v="10"/>
    <n v="2"/>
    <x v="10"/>
    <x v="1"/>
  </r>
  <r>
    <x v="1"/>
    <x v="3"/>
    <x v="2"/>
    <x v="2"/>
    <x v="1"/>
    <x v="11"/>
    <n v="1"/>
    <x v="11"/>
    <x v="1"/>
  </r>
  <r>
    <x v="1"/>
    <x v="3"/>
    <x v="2"/>
    <x v="2"/>
    <x v="2"/>
    <x v="12"/>
    <n v="2"/>
    <x v="12"/>
    <x v="0"/>
  </r>
  <r>
    <x v="1"/>
    <x v="3"/>
    <x v="2"/>
    <x v="2"/>
    <x v="2"/>
    <x v="13"/>
    <n v="1"/>
    <x v="13"/>
    <x v="0"/>
  </r>
  <r>
    <x v="1"/>
    <x v="3"/>
    <x v="2"/>
    <x v="2"/>
    <x v="2"/>
    <x v="14"/>
    <n v="0"/>
    <x v="14"/>
    <x v="0"/>
  </r>
  <r>
    <x v="1"/>
    <x v="3"/>
    <x v="2"/>
    <x v="2"/>
    <x v="2"/>
    <x v="15"/>
    <n v="1"/>
    <x v="15"/>
    <x v="1"/>
  </r>
  <r>
    <x v="1"/>
    <x v="3"/>
    <x v="2"/>
    <x v="2"/>
    <x v="2"/>
    <x v="16"/>
    <n v="0"/>
    <x v="16"/>
    <x v="1"/>
  </r>
  <r>
    <x v="1"/>
    <x v="3"/>
    <x v="2"/>
    <x v="2"/>
    <x v="2"/>
    <x v="17"/>
    <n v="1"/>
    <x v="17"/>
    <x v="1"/>
  </r>
  <r>
    <x v="1"/>
    <x v="3"/>
    <x v="2"/>
    <x v="2"/>
    <x v="2"/>
    <x v="18"/>
    <n v="2"/>
    <x v="18"/>
    <x v="1"/>
  </r>
  <r>
    <x v="1"/>
    <x v="3"/>
    <x v="2"/>
    <x v="2"/>
    <x v="2"/>
    <x v="19"/>
    <n v="1"/>
    <x v="19"/>
    <x v="0"/>
  </r>
  <r>
    <x v="1"/>
    <x v="4"/>
    <x v="3"/>
    <x v="0"/>
    <x v="0"/>
    <x v="0"/>
    <n v="0"/>
    <x v="0"/>
    <x v="0"/>
  </r>
  <r>
    <x v="1"/>
    <x v="4"/>
    <x v="3"/>
    <x v="0"/>
    <x v="0"/>
    <x v="1"/>
    <n v="0"/>
    <x v="1"/>
    <x v="0"/>
  </r>
  <r>
    <x v="1"/>
    <x v="4"/>
    <x v="3"/>
    <x v="0"/>
    <x v="0"/>
    <x v="2"/>
    <n v="0"/>
    <x v="2"/>
    <x v="0"/>
  </r>
  <r>
    <x v="1"/>
    <x v="4"/>
    <x v="3"/>
    <x v="0"/>
    <x v="0"/>
    <x v="3"/>
    <n v="1"/>
    <x v="3"/>
    <x v="1"/>
  </r>
  <r>
    <x v="1"/>
    <x v="4"/>
    <x v="3"/>
    <x v="0"/>
    <x v="0"/>
    <x v="4"/>
    <n v="0"/>
    <x v="4"/>
    <x v="1"/>
  </r>
  <r>
    <x v="1"/>
    <x v="4"/>
    <x v="3"/>
    <x v="0"/>
    <x v="0"/>
    <x v="5"/>
    <n v="0"/>
    <x v="5"/>
    <x v="1"/>
  </r>
  <r>
    <x v="1"/>
    <x v="4"/>
    <x v="3"/>
    <x v="0"/>
    <x v="0"/>
    <x v="6"/>
    <n v="0"/>
    <x v="6"/>
    <x v="1"/>
  </r>
  <r>
    <x v="1"/>
    <x v="4"/>
    <x v="3"/>
    <x v="0"/>
    <x v="0"/>
    <x v="7"/>
    <n v="1"/>
    <x v="7"/>
    <x v="0"/>
  </r>
  <r>
    <x v="1"/>
    <x v="4"/>
    <x v="3"/>
    <x v="0"/>
    <x v="1"/>
    <x v="8"/>
    <n v="0"/>
    <x v="8"/>
    <x v="1"/>
  </r>
  <r>
    <x v="1"/>
    <x v="4"/>
    <x v="3"/>
    <x v="0"/>
    <x v="1"/>
    <x v="9"/>
    <n v="2"/>
    <x v="9"/>
    <x v="1"/>
  </r>
  <r>
    <x v="1"/>
    <x v="4"/>
    <x v="3"/>
    <x v="0"/>
    <x v="1"/>
    <x v="10"/>
    <n v="0"/>
    <x v="10"/>
    <x v="1"/>
  </r>
  <r>
    <x v="1"/>
    <x v="4"/>
    <x v="3"/>
    <x v="0"/>
    <x v="1"/>
    <x v="11"/>
    <n v="0"/>
    <x v="11"/>
    <x v="1"/>
  </r>
  <r>
    <x v="1"/>
    <x v="4"/>
    <x v="3"/>
    <x v="0"/>
    <x v="2"/>
    <x v="12"/>
    <n v="0"/>
    <x v="12"/>
    <x v="0"/>
  </r>
  <r>
    <x v="1"/>
    <x v="4"/>
    <x v="3"/>
    <x v="0"/>
    <x v="2"/>
    <x v="13"/>
    <n v="0"/>
    <x v="13"/>
    <x v="0"/>
  </r>
  <r>
    <x v="1"/>
    <x v="4"/>
    <x v="3"/>
    <x v="0"/>
    <x v="2"/>
    <x v="14"/>
    <n v="0"/>
    <x v="14"/>
    <x v="0"/>
  </r>
  <r>
    <x v="1"/>
    <x v="4"/>
    <x v="3"/>
    <x v="0"/>
    <x v="2"/>
    <x v="15"/>
    <n v="0"/>
    <x v="15"/>
    <x v="1"/>
  </r>
  <r>
    <x v="1"/>
    <x v="4"/>
    <x v="3"/>
    <x v="0"/>
    <x v="2"/>
    <x v="16"/>
    <n v="0"/>
    <x v="16"/>
    <x v="1"/>
  </r>
  <r>
    <x v="1"/>
    <x v="4"/>
    <x v="3"/>
    <x v="0"/>
    <x v="2"/>
    <x v="17"/>
    <n v="0"/>
    <x v="17"/>
    <x v="1"/>
  </r>
  <r>
    <x v="1"/>
    <x v="4"/>
    <x v="3"/>
    <x v="0"/>
    <x v="2"/>
    <x v="18"/>
    <n v="0"/>
    <x v="18"/>
    <x v="1"/>
  </r>
  <r>
    <x v="1"/>
    <x v="4"/>
    <x v="3"/>
    <x v="0"/>
    <x v="2"/>
    <x v="19"/>
    <n v="0"/>
    <x v="19"/>
    <x v="0"/>
  </r>
  <r>
    <x v="1"/>
    <x v="4"/>
    <x v="3"/>
    <x v="1"/>
    <x v="0"/>
    <x v="0"/>
    <n v="0"/>
    <x v="0"/>
    <x v="0"/>
  </r>
  <r>
    <x v="1"/>
    <x v="4"/>
    <x v="3"/>
    <x v="1"/>
    <x v="0"/>
    <x v="1"/>
    <n v="0"/>
    <x v="1"/>
    <x v="0"/>
  </r>
  <r>
    <x v="1"/>
    <x v="4"/>
    <x v="3"/>
    <x v="1"/>
    <x v="0"/>
    <x v="2"/>
    <n v="0"/>
    <x v="2"/>
    <x v="0"/>
  </r>
  <r>
    <x v="1"/>
    <x v="4"/>
    <x v="3"/>
    <x v="1"/>
    <x v="0"/>
    <x v="3"/>
    <n v="0"/>
    <x v="3"/>
    <x v="1"/>
  </r>
  <r>
    <x v="1"/>
    <x v="4"/>
    <x v="3"/>
    <x v="1"/>
    <x v="0"/>
    <x v="4"/>
    <n v="0"/>
    <x v="4"/>
    <x v="1"/>
  </r>
  <r>
    <x v="1"/>
    <x v="4"/>
    <x v="3"/>
    <x v="1"/>
    <x v="0"/>
    <x v="5"/>
    <n v="0"/>
    <x v="5"/>
    <x v="1"/>
  </r>
  <r>
    <x v="1"/>
    <x v="4"/>
    <x v="3"/>
    <x v="1"/>
    <x v="0"/>
    <x v="6"/>
    <n v="0"/>
    <x v="6"/>
    <x v="1"/>
  </r>
  <r>
    <x v="1"/>
    <x v="4"/>
    <x v="3"/>
    <x v="1"/>
    <x v="0"/>
    <x v="7"/>
    <n v="0"/>
    <x v="7"/>
    <x v="0"/>
  </r>
  <r>
    <x v="1"/>
    <x v="4"/>
    <x v="3"/>
    <x v="1"/>
    <x v="1"/>
    <x v="8"/>
    <n v="0"/>
    <x v="8"/>
    <x v="1"/>
  </r>
  <r>
    <x v="1"/>
    <x v="4"/>
    <x v="3"/>
    <x v="1"/>
    <x v="1"/>
    <x v="9"/>
    <n v="0"/>
    <x v="9"/>
    <x v="1"/>
  </r>
  <r>
    <x v="1"/>
    <x v="4"/>
    <x v="3"/>
    <x v="1"/>
    <x v="1"/>
    <x v="10"/>
    <n v="0"/>
    <x v="10"/>
    <x v="1"/>
  </r>
  <r>
    <x v="1"/>
    <x v="4"/>
    <x v="3"/>
    <x v="1"/>
    <x v="1"/>
    <x v="11"/>
    <n v="0"/>
    <x v="11"/>
    <x v="1"/>
  </r>
  <r>
    <x v="1"/>
    <x v="4"/>
    <x v="3"/>
    <x v="1"/>
    <x v="2"/>
    <x v="12"/>
    <n v="0"/>
    <x v="12"/>
    <x v="0"/>
  </r>
  <r>
    <x v="1"/>
    <x v="4"/>
    <x v="3"/>
    <x v="1"/>
    <x v="2"/>
    <x v="13"/>
    <n v="0"/>
    <x v="13"/>
    <x v="0"/>
  </r>
  <r>
    <x v="1"/>
    <x v="4"/>
    <x v="3"/>
    <x v="1"/>
    <x v="2"/>
    <x v="14"/>
    <n v="0"/>
    <x v="14"/>
    <x v="0"/>
  </r>
  <r>
    <x v="1"/>
    <x v="4"/>
    <x v="3"/>
    <x v="1"/>
    <x v="2"/>
    <x v="15"/>
    <n v="0"/>
    <x v="15"/>
    <x v="1"/>
  </r>
  <r>
    <x v="1"/>
    <x v="4"/>
    <x v="3"/>
    <x v="1"/>
    <x v="2"/>
    <x v="16"/>
    <n v="0"/>
    <x v="16"/>
    <x v="1"/>
  </r>
  <r>
    <x v="1"/>
    <x v="4"/>
    <x v="3"/>
    <x v="1"/>
    <x v="2"/>
    <x v="17"/>
    <n v="0"/>
    <x v="17"/>
    <x v="1"/>
  </r>
  <r>
    <x v="1"/>
    <x v="4"/>
    <x v="3"/>
    <x v="1"/>
    <x v="2"/>
    <x v="18"/>
    <n v="0"/>
    <x v="18"/>
    <x v="1"/>
  </r>
  <r>
    <x v="1"/>
    <x v="4"/>
    <x v="3"/>
    <x v="1"/>
    <x v="2"/>
    <x v="19"/>
    <n v="0"/>
    <x v="19"/>
    <x v="0"/>
  </r>
  <r>
    <x v="1"/>
    <x v="4"/>
    <x v="3"/>
    <x v="2"/>
    <x v="0"/>
    <x v="0"/>
    <n v="0"/>
    <x v="0"/>
    <x v="0"/>
  </r>
  <r>
    <x v="1"/>
    <x v="4"/>
    <x v="3"/>
    <x v="2"/>
    <x v="0"/>
    <x v="1"/>
    <n v="0"/>
    <x v="1"/>
    <x v="0"/>
  </r>
  <r>
    <x v="1"/>
    <x v="4"/>
    <x v="3"/>
    <x v="2"/>
    <x v="0"/>
    <x v="2"/>
    <n v="0"/>
    <x v="2"/>
    <x v="0"/>
  </r>
  <r>
    <x v="1"/>
    <x v="4"/>
    <x v="3"/>
    <x v="2"/>
    <x v="0"/>
    <x v="3"/>
    <n v="0"/>
    <x v="3"/>
    <x v="1"/>
  </r>
  <r>
    <x v="1"/>
    <x v="4"/>
    <x v="3"/>
    <x v="2"/>
    <x v="0"/>
    <x v="4"/>
    <n v="0"/>
    <x v="4"/>
    <x v="1"/>
  </r>
  <r>
    <x v="1"/>
    <x v="4"/>
    <x v="3"/>
    <x v="2"/>
    <x v="0"/>
    <x v="5"/>
    <n v="0"/>
    <x v="5"/>
    <x v="1"/>
  </r>
  <r>
    <x v="1"/>
    <x v="4"/>
    <x v="3"/>
    <x v="2"/>
    <x v="0"/>
    <x v="6"/>
    <n v="0"/>
    <x v="6"/>
    <x v="1"/>
  </r>
  <r>
    <x v="1"/>
    <x v="4"/>
    <x v="3"/>
    <x v="2"/>
    <x v="0"/>
    <x v="7"/>
    <n v="0"/>
    <x v="7"/>
    <x v="0"/>
  </r>
  <r>
    <x v="1"/>
    <x v="4"/>
    <x v="3"/>
    <x v="2"/>
    <x v="1"/>
    <x v="8"/>
    <n v="0"/>
    <x v="8"/>
    <x v="1"/>
  </r>
  <r>
    <x v="1"/>
    <x v="4"/>
    <x v="3"/>
    <x v="2"/>
    <x v="1"/>
    <x v="9"/>
    <n v="0"/>
    <x v="9"/>
    <x v="1"/>
  </r>
  <r>
    <x v="1"/>
    <x v="4"/>
    <x v="3"/>
    <x v="2"/>
    <x v="1"/>
    <x v="10"/>
    <n v="0"/>
    <x v="10"/>
    <x v="1"/>
  </r>
  <r>
    <x v="1"/>
    <x v="4"/>
    <x v="3"/>
    <x v="2"/>
    <x v="1"/>
    <x v="11"/>
    <n v="0"/>
    <x v="11"/>
    <x v="1"/>
  </r>
  <r>
    <x v="1"/>
    <x v="4"/>
    <x v="3"/>
    <x v="2"/>
    <x v="2"/>
    <x v="12"/>
    <n v="0"/>
    <x v="12"/>
    <x v="0"/>
  </r>
  <r>
    <x v="1"/>
    <x v="4"/>
    <x v="3"/>
    <x v="2"/>
    <x v="2"/>
    <x v="13"/>
    <n v="0"/>
    <x v="13"/>
    <x v="0"/>
  </r>
  <r>
    <x v="1"/>
    <x v="4"/>
    <x v="3"/>
    <x v="2"/>
    <x v="2"/>
    <x v="14"/>
    <n v="0"/>
    <x v="14"/>
    <x v="0"/>
  </r>
  <r>
    <x v="1"/>
    <x v="4"/>
    <x v="3"/>
    <x v="2"/>
    <x v="2"/>
    <x v="15"/>
    <n v="0"/>
    <x v="15"/>
    <x v="1"/>
  </r>
  <r>
    <x v="1"/>
    <x v="4"/>
    <x v="3"/>
    <x v="2"/>
    <x v="2"/>
    <x v="16"/>
    <n v="0"/>
    <x v="16"/>
    <x v="1"/>
  </r>
  <r>
    <x v="1"/>
    <x v="4"/>
    <x v="3"/>
    <x v="2"/>
    <x v="2"/>
    <x v="17"/>
    <n v="0"/>
    <x v="17"/>
    <x v="1"/>
  </r>
  <r>
    <x v="1"/>
    <x v="4"/>
    <x v="3"/>
    <x v="2"/>
    <x v="2"/>
    <x v="18"/>
    <n v="0"/>
    <x v="18"/>
    <x v="1"/>
  </r>
  <r>
    <x v="1"/>
    <x v="4"/>
    <x v="3"/>
    <x v="2"/>
    <x v="2"/>
    <x v="19"/>
    <n v="0"/>
    <x v="19"/>
    <x v="0"/>
  </r>
  <r>
    <x v="2"/>
    <x v="5"/>
    <x v="2"/>
    <x v="0"/>
    <x v="0"/>
    <x v="0"/>
    <n v="15"/>
    <x v="0"/>
    <x v="0"/>
  </r>
  <r>
    <x v="2"/>
    <x v="5"/>
    <x v="2"/>
    <x v="0"/>
    <x v="0"/>
    <x v="1"/>
    <n v="19"/>
    <x v="1"/>
    <x v="0"/>
  </r>
  <r>
    <x v="2"/>
    <x v="5"/>
    <x v="2"/>
    <x v="0"/>
    <x v="0"/>
    <x v="2"/>
    <n v="30"/>
    <x v="2"/>
    <x v="0"/>
  </r>
  <r>
    <x v="2"/>
    <x v="5"/>
    <x v="2"/>
    <x v="0"/>
    <x v="0"/>
    <x v="3"/>
    <n v="31"/>
    <x v="3"/>
    <x v="1"/>
  </r>
  <r>
    <x v="2"/>
    <x v="5"/>
    <x v="2"/>
    <x v="0"/>
    <x v="0"/>
    <x v="4"/>
    <n v="42"/>
    <x v="4"/>
    <x v="1"/>
  </r>
  <r>
    <x v="2"/>
    <x v="5"/>
    <x v="2"/>
    <x v="0"/>
    <x v="0"/>
    <x v="5"/>
    <n v="41"/>
    <x v="5"/>
    <x v="1"/>
  </r>
  <r>
    <x v="2"/>
    <x v="5"/>
    <x v="2"/>
    <x v="0"/>
    <x v="0"/>
    <x v="6"/>
    <n v="48"/>
    <x v="6"/>
    <x v="1"/>
  </r>
  <r>
    <x v="2"/>
    <x v="5"/>
    <x v="2"/>
    <x v="0"/>
    <x v="0"/>
    <x v="7"/>
    <n v="35"/>
    <x v="7"/>
    <x v="0"/>
  </r>
  <r>
    <x v="2"/>
    <x v="5"/>
    <x v="2"/>
    <x v="0"/>
    <x v="1"/>
    <x v="8"/>
    <n v="14"/>
    <x v="8"/>
    <x v="1"/>
  </r>
  <r>
    <x v="2"/>
    <x v="5"/>
    <x v="2"/>
    <x v="0"/>
    <x v="1"/>
    <x v="9"/>
    <n v="11"/>
    <x v="9"/>
    <x v="1"/>
  </r>
  <r>
    <x v="2"/>
    <x v="5"/>
    <x v="2"/>
    <x v="0"/>
    <x v="1"/>
    <x v="10"/>
    <n v="18"/>
    <x v="10"/>
    <x v="1"/>
  </r>
  <r>
    <x v="2"/>
    <x v="5"/>
    <x v="2"/>
    <x v="0"/>
    <x v="1"/>
    <x v="11"/>
    <n v="22"/>
    <x v="11"/>
    <x v="1"/>
  </r>
  <r>
    <x v="2"/>
    <x v="5"/>
    <x v="2"/>
    <x v="0"/>
    <x v="2"/>
    <x v="12"/>
    <n v="36"/>
    <x v="12"/>
    <x v="0"/>
  </r>
  <r>
    <x v="2"/>
    <x v="5"/>
    <x v="2"/>
    <x v="0"/>
    <x v="2"/>
    <x v="13"/>
    <n v="37"/>
    <x v="13"/>
    <x v="0"/>
  </r>
  <r>
    <x v="2"/>
    <x v="5"/>
    <x v="2"/>
    <x v="0"/>
    <x v="2"/>
    <x v="14"/>
    <n v="37"/>
    <x v="14"/>
    <x v="0"/>
  </r>
  <r>
    <x v="2"/>
    <x v="5"/>
    <x v="2"/>
    <x v="0"/>
    <x v="2"/>
    <x v="15"/>
    <n v="64"/>
    <x v="15"/>
    <x v="1"/>
  </r>
  <r>
    <x v="2"/>
    <x v="5"/>
    <x v="2"/>
    <x v="0"/>
    <x v="2"/>
    <x v="16"/>
    <n v="63"/>
    <x v="16"/>
    <x v="1"/>
  </r>
  <r>
    <x v="2"/>
    <x v="5"/>
    <x v="2"/>
    <x v="0"/>
    <x v="2"/>
    <x v="17"/>
    <n v="39"/>
    <x v="17"/>
    <x v="1"/>
  </r>
  <r>
    <x v="2"/>
    <x v="5"/>
    <x v="2"/>
    <x v="0"/>
    <x v="2"/>
    <x v="18"/>
    <n v="59"/>
    <x v="18"/>
    <x v="1"/>
  </r>
  <r>
    <x v="2"/>
    <x v="5"/>
    <x v="2"/>
    <x v="0"/>
    <x v="2"/>
    <x v="19"/>
    <n v="26"/>
    <x v="19"/>
    <x v="0"/>
  </r>
  <r>
    <x v="2"/>
    <x v="5"/>
    <x v="2"/>
    <x v="1"/>
    <x v="0"/>
    <x v="0"/>
    <n v="0"/>
    <x v="0"/>
    <x v="0"/>
  </r>
  <r>
    <x v="2"/>
    <x v="5"/>
    <x v="2"/>
    <x v="1"/>
    <x v="0"/>
    <x v="1"/>
    <n v="0"/>
    <x v="1"/>
    <x v="0"/>
  </r>
  <r>
    <x v="2"/>
    <x v="5"/>
    <x v="2"/>
    <x v="1"/>
    <x v="0"/>
    <x v="2"/>
    <n v="0"/>
    <x v="2"/>
    <x v="0"/>
  </r>
  <r>
    <x v="2"/>
    <x v="5"/>
    <x v="2"/>
    <x v="1"/>
    <x v="0"/>
    <x v="3"/>
    <n v="2"/>
    <x v="3"/>
    <x v="1"/>
  </r>
  <r>
    <x v="2"/>
    <x v="5"/>
    <x v="2"/>
    <x v="1"/>
    <x v="0"/>
    <x v="4"/>
    <n v="0"/>
    <x v="4"/>
    <x v="1"/>
  </r>
  <r>
    <x v="2"/>
    <x v="5"/>
    <x v="2"/>
    <x v="1"/>
    <x v="0"/>
    <x v="5"/>
    <n v="1"/>
    <x v="5"/>
    <x v="1"/>
  </r>
  <r>
    <x v="2"/>
    <x v="5"/>
    <x v="2"/>
    <x v="1"/>
    <x v="0"/>
    <x v="6"/>
    <n v="0"/>
    <x v="6"/>
    <x v="1"/>
  </r>
  <r>
    <x v="2"/>
    <x v="5"/>
    <x v="2"/>
    <x v="1"/>
    <x v="0"/>
    <x v="7"/>
    <n v="0"/>
    <x v="7"/>
    <x v="0"/>
  </r>
  <r>
    <x v="2"/>
    <x v="5"/>
    <x v="2"/>
    <x v="1"/>
    <x v="1"/>
    <x v="8"/>
    <n v="0"/>
    <x v="8"/>
    <x v="1"/>
  </r>
  <r>
    <x v="2"/>
    <x v="5"/>
    <x v="2"/>
    <x v="1"/>
    <x v="1"/>
    <x v="9"/>
    <n v="0"/>
    <x v="9"/>
    <x v="1"/>
  </r>
  <r>
    <x v="2"/>
    <x v="5"/>
    <x v="2"/>
    <x v="1"/>
    <x v="1"/>
    <x v="10"/>
    <n v="1"/>
    <x v="10"/>
    <x v="1"/>
  </r>
  <r>
    <x v="2"/>
    <x v="5"/>
    <x v="2"/>
    <x v="1"/>
    <x v="1"/>
    <x v="11"/>
    <n v="2"/>
    <x v="11"/>
    <x v="1"/>
  </r>
  <r>
    <x v="2"/>
    <x v="5"/>
    <x v="2"/>
    <x v="1"/>
    <x v="2"/>
    <x v="12"/>
    <n v="0"/>
    <x v="12"/>
    <x v="0"/>
  </r>
  <r>
    <x v="2"/>
    <x v="5"/>
    <x v="2"/>
    <x v="1"/>
    <x v="2"/>
    <x v="13"/>
    <n v="0"/>
    <x v="13"/>
    <x v="0"/>
  </r>
  <r>
    <x v="2"/>
    <x v="5"/>
    <x v="2"/>
    <x v="1"/>
    <x v="2"/>
    <x v="14"/>
    <n v="0"/>
    <x v="14"/>
    <x v="0"/>
  </r>
  <r>
    <x v="2"/>
    <x v="5"/>
    <x v="2"/>
    <x v="1"/>
    <x v="2"/>
    <x v="15"/>
    <n v="0"/>
    <x v="15"/>
    <x v="1"/>
  </r>
  <r>
    <x v="2"/>
    <x v="5"/>
    <x v="2"/>
    <x v="1"/>
    <x v="2"/>
    <x v="16"/>
    <n v="0"/>
    <x v="16"/>
    <x v="1"/>
  </r>
  <r>
    <x v="2"/>
    <x v="5"/>
    <x v="2"/>
    <x v="1"/>
    <x v="2"/>
    <x v="17"/>
    <n v="0"/>
    <x v="17"/>
    <x v="1"/>
  </r>
  <r>
    <x v="2"/>
    <x v="5"/>
    <x v="2"/>
    <x v="1"/>
    <x v="2"/>
    <x v="18"/>
    <n v="0"/>
    <x v="18"/>
    <x v="1"/>
  </r>
  <r>
    <x v="2"/>
    <x v="5"/>
    <x v="2"/>
    <x v="1"/>
    <x v="2"/>
    <x v="19"/>
    <n v="0"/>
    <x v="19"/>
    <x v="0"/>
  </r>
  <r>
    <x v="2"/>
    <x v="5"/>
    <x v="2"/>
    <x v="2"/>
    <x v="0"/>
    <x v="0"/>
    <n v="0"/>
    <x v="0"/>
    <x v="0"/>
  </r>
  <r>
    <x v="2"/>
    <x v="5"/>
    <x v="2"/>
    <x v="2"/>
    <x v="0"/>
    <x v="1"/>
    <n v="0"/>
    <x v="1"/>
    <x v="0"/>
  </r>
  <r>
    <x v="2"/>
    <x v="5"/>
    <x v="2"/>
    <x v="2"/>
    <x v="0"/>
    <x v="2"/>
    <n v="0"/>
    <x v="2"/>
    <x v="0"/>
  </r>
  <r>
    <x v="2"/>
    <x v="5"/>
    <x v="2"/>
    <x v="2"/>
    <x v="0"/>
    <x v="3"/>
    <n v="0"/>
    <x v="3"/>
    <x v="1"/>
  </r>
  <r>
    <x v="2"/>
    <x v="5"/>
    <x v="2"/>
    <x v="2"/>
    <x v="0"/>
    <x v="4"/>
    <n v="1"/>
    <x v="4"/>
    <x v="1"/>
  </r>
  <r>
    <x v="2"/>
    <x v="5"/>
    <x v="2"/>
    <x v="2"/>
    <x v="0"/>
    <x v="5"/>
    <n v="0"/>
    <x v="5"/>
    <x v="1"/>
  </r>
  <r>
    <x v="2"/>
    <x v="5"/>
    <x v="2"/>
    <x v="2"/>
    <x v="0"/>
    <x v="6"/>
    <n v="0"/>
    <x v="6"/>
    <x v="1"/>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1"/>
    <x v="13"/>
    <x v="0"/>
  </r>
  <r>
    <x v="2"/>
    <x v="5"/>
    <x v="2"/>
    <x v="2"/>
    <x v="2"/>
    <x v="14"/>
    <n v="0"/>
    <x v="14"/>
    <x v="0"/>
  </r>
  <r>
    <x v="2"/>
    <x v="5"/>
    <x v="2"/>
    <x v="2"/>
    <x v="2"/>
    <x v="15"/>
    <n v="0"/>
    <x v="15"/>
    <x v="1"/>
  </r>
  <r>
    <x v="2"/>
    <x v="5"/>
    <x v="2"/>
    <x v="2"/>
    <x v="2"/>
    <x v="16"/>
    <n v="3"/>
    <x v="16"/>
    <x v="1"/>
  </r>
  <r>
    <x v="2"/>
    <x v="5"/>
    <x v="2"/>
    <x v="2"/>
    <x v="2"/>
    <x v="17"/>
    <n v="1"/>
    <x v="17"/>
    <x v="1"/>
  </r>
  <r>
    <x v="2"/>
    <x v="5"/>
    <x v="2"/>
    <x v="2"/>
    <x v="2"/>
    <x v="18"/>
    <n v="1"/>
    <x v="18"/>
    <x v="1"/>
  </r>
  <r>
    <x v="2"/>
    <x v="5"/>
    <x v="2"/>
    <x v="2"/>
    <x v="2"/>
    <x v="19"/>
    <n v="0"/>
    <x v="19"/>
    <x v="0"/>
  </r>
  <r>
    <x v="2"/>
    <x v="6"/>
    <x v="0"/>
    <x v="0"/>
    <x v="0"/>
    <x v="0"/>
    <n v="21"/>
    <x v="0"/>
    <x v="0"/>
  </r>
  <r>
    <x v="2"/>
    <x v="6"/>
    <x v="0"/>
    <x v="0"/>
    <x v="0"/>
    <x v="1"/>
    <n v="21"/>
    <x v="1"/>
    <x v="0"/>
  </r>
  <r>
    <x v="2"/>
    <x v="6"/>
    <x v="0"/>
    <x v="0"/>
    <x v="0"/>
    <x v="2"/>
    <n v="32"/>
    <x v="2"/>
    <x v="0"/>
  </r>
  <r>
    <x v="2"/>
    <x v="6"/>
    <x v="0"/>
    <x v="0"/>
    <x v="0"/>
    <x v="3"/>
    <n v="31"/>
    <x v="3"/>
    <x v="1"/>
  </r>
  <r>
    <x v="2"/>
    <x v="6"/>
    <x v="0"/>
    <x v="0"/>
    <x v="0"/>
    <x v="4"/>
    <n v="35"/>
    <x v="4"/>
    <x v="1"/>
  </r>
  <r>
    <x v="2"/>
    <x v="6"/>
    <x v="0"/>
    <x v="0"/>
    <x v="0"/>
    <x v="5"/>
    <n v="26"/>
    <x v="5"/>
    <x v="1"/>
  </r>
  <r>
    <x v="2"/>
    <x v="6"/>
    <x v="0"/>
    <x v="0"/>
    <x v="0"/>
    <x v="6"/>
    <n v="32"/>
    <x v="6"/>
    <x v="1"/>
  </r>
  <r>
    <x v="2"/>
    <x v="6"/>
    <x v="0"/>
    <x v="0"/>
    <x v="0"/>
    <x v="7"/>
    <n v="39"/>
    <x v="7"/>
    <x v="0"/>
  </r>
  <r>
    <x v="2"/>
    <x v="6"/>
    <x v="0"/>
    <x v="0"/>
    <x v="1"/>
    <x v="8"/>
    <n v="36"/>
    <x v="8"/>
    <x v="1"/>
  </r>
  <r>
    <x v="2"/>
    <x v="6"/>
    <x v="0"/>
    <x v="0"/>
    <x v="1"/>
    <x v="9"/>
    <n v="28"/>
    <x v="9"/>
    <x v="1"/>
  </r>
  <r>
    <x v="2"/>
    <x v="6"/>
    <x v="0"/>
    <x v="0"/>
    <x v="1"/>
    <x v="10"/>
    <n v="27"/>
    <x v="10"/>
    <x v="1"/>
  </r>
  <r>
    <x v="2"/>
    <x v="6"/>
    <x v="0"/>
    <x v="0"/>
    <x v="1"/>
    <x v="11"/>
    <n v="29"/>
    <x v="11"/>
    <x v="1"/>
  </r>
  <r>
    <x v="2"/>
    <x v="6"/>
    <x v="0"/>
    <x v="0"/>
    <x v="2"/>
    <x v="12"/>
    <n v="56"/>
    <x v="12"/>
    <x v="0"/>
  </r>
  <r>
    <x v="2"/>
    <x v="6"/>
    <x v="0"/>
    <x v="0"/>
    <x v="2"/>
    <x v="13"/>
    <n v="54"/>
    <x v="13"/>
    <x v="0"/>
  </r>
  <r>
    <x v="2"/>
    <x v="6"/>
    <x v="0"/>
    <x v="0"/>
    <x v="2"/>
    <x v="14"/>
    <n v="67"/>
    <x v="14"/>
    <x v="0"/>
  </r>
  <r>
    <x v="2"/>
    <x v="6"/>
    <x v="0"/>
    <x v="0"/>
    <x v="2"/>
    <x v="15"/>
    <n v="83"/>
    <x v="15"/>
    <x v="1"/>
  </r>
  <r>
    <x v="2"/>
    <x v="6"/>
    <x v="0"/>
    <x v="0"/>
    <x v="2"/>
    <x v="16"/>
    <n v="54"/>
    <x v="16"/>
    <x v="1"/>
  </r>
  <r>
    <x v="2"/>
    <x v="6"/>
    <x v="0"/>
    <x v="0"/>
    <x v="2"/>
    <x v="17"/>
    <n v="64"/>
    <x v="17"/>
    <x v="1"/>
  </r>
  <r>
    <x v="2"/>
    <x v="6"/>
    <x v="0"/>
    <x v="0"/>
    <x v="2"/>
    <x v="18"/>
    <n v="85"/>
    <x v="18"/>
    <x v="1"/>
  </r>
  <r>
    <x v="2"/>
    <x v="6"/>
    <x v="0"/>
    <x v="0"/>
    <x v="2"/>
    <x v="19"/>
    <n v="62"/>
    <x v="19"/>
    <x v="0"/>
  </r>
  <r>
    <x v="2"/>
    <x v="6"/>
    <x v="0"/>
    <x v="1"/>
    <x v="0"/>
    <x v="0"/>
    <n v="3"/>
    <x v="0"/>
    <x v="0"/>
  </r>
  <r>
    <x v="2"/>
    <x v="6"/>
    <x v="0"/>
    <x v="1"/>
    <x v="0"/>
    <x v="1"/>
    <n v="1"/>
    <x v="1"/>
    <x v="0"/>
  </r>
  <r>
    <x v="2"/>
    <x v="6"/>
    <x v="0"/>
    <x v="1"/>
    <x v="0"/>
    <x v="2"/>
    <n v="0"/>
    <x v="2"/>
    <x v="0"/>
  </r>
  <r>
    <x v="2"/>
    <x v="6"/>
    <x v="0"/>
    <x v="1"/>
    <x v="0"/>
    <x v="3"/>
    <n v="1"/>
    <x v="3"/>
    <x v="1"/>
  </r>
  <r>
    <x v="2"/>
    <x v="6"/>
    <x v="0"/>
    <x v="1"/>
    <x v="0"/>
    <x v="4"/>
    <n v="2"/>
    <x v="4"/>
    <x v="1"/>
  </r>
  <r>
    <x v="2"/>
    <x v="6"/>
    <x v="0"/>
    <x v="1"/>
    <x v="0"/>
    <x v="5"/>
    <n v="1"/>
    <x v="5"/>
    <x v="1"/>
  </r>
  <r>
    <x v="2"/>
    <x v="6"/>
    <x v="0"/>
    <x v="1"/>
    <x v="0"/>
    <x v="6"/>
    <n v="4"/>
    <x v="6"/>
    <x v="1"/>
  </r>
  <r>
    <x v="2"/>
    <x v="6"/>
    <x v="0"/>
    <x v="1"/>
    <x v="0"/>
    <x v="7"/>
    <n v="3"/>
    <x v="7"/>
    <x v="0"/>
  </r>
  <r>
    <x v="2"/>
    <x v="6"/>
    <x v="0"/>
    <x v="1"/>
    <x v="1"/>
    <x v="8"/>
    <n v="1"/>
    <x v="8"/>
    <x v="1"/>
  </r>
  <r>
    <x v="2"/>
    <x v="6"/>
    <x v="0"/>
    <x v="1"/>
    <x v="1"/>
    <x v="9"/>
    <n v="0"/>
    <x v="9"/>
    <x v="1"/>
  </r>
  <r>
    <x v="2"/>
    <x v="6"/>
    <x v="0"/>
    <x v="1"/>
    <x v="1"/>
    <x v="10"/>
    <n v="1"/>
    <x v="10"/>
    <x v="1"/>
  </r>
  <r>
    <x v="2"/>
    <x v="6"/>
    <x v="0"/>
    <x v="1"/>
    <x v="1"/>
    <x v="11"/>
    <n v="1"/>
    <x v="11"/>
    <x v="1"/>
  </r>
  <r>
    <x v="2"/>
    <x v="6"/>
    <x v="0"/>
    <x v="1"/>
    <x v="2"/>
    <x v="12"/>
    <n v="0"/>
    <x v="12"/>
    <x v="0"/>
  </r>
  <r>
    <x v="2"/>
    <x v="6"/>
    <x v="0"/>
    <x v="1"/>
    <x v="2"/>
    <x v="13"/>
    <n v="3"/>
    <x v="13"/>
    <x v="0"/>
  </r>
  <r>
    <x v="2"/>
    <x v="6"/>
    <x v="0"/>
    <x v="1"/>
    <x v="2"/>
    <x v="14"/>
    <n v="1"/>
    <x v="14"/>
    <x v="0"/>
  </r>
  <r>
    <x v="2"/>
    <x v="6"/>
    <x v="0"/>
    <x v="1"/>
    <x v="2"/>
    <x v="15"/>
    <n v="1"/>
    <x v="15"/>
    <x v="1"/>
  </r>
  <r>
    <x v="2"/>
    <x v="6"/>
    <x v="0"/>
    <x v="1"/>
    <x v="2"/>
    <x v="16"/>
    <n v="0"/>
    <x v="16"/>
    <x v="1"/>
  </r>
  <r>
    <x v="2"/>
    <x v="6"/>
    <x v="0"/>
    <x v="1"/>
    <x v="2"/>
    <x v="17"/>
    <n v="0"/>
    <x v="17"/>
    <x v="1"/>
  </r>
  <r>
    <x v="2"/>
    <x v="6"/>
    <x v="0"/>
    <x v="1"/>
    <x v="2"/>
    <x v="18"/>
    <n v="0"/>
    <x v="18"/>
    <x v="1"/>
  </r>
  <r>
    <x v="2"/>
    <x v="6"/>
    <x v="0"/>
    <x v="1"/>
    <x v="2"/>
    <x v="19"/>
    <n v="1"/>
    <x v="19"/>
    <x v="0"/>
  </r>
  <r>
    <x v="2"/>
    <x v="6"/>
    <x v="0"/>
    <x v="2"/>
    <x v="0"/>
    <x v="0"/>
    <n v="0"/>
    <x v="0"/>
    <x v="0"/>
  </r>
  <r>
    <x v="2"/>
    <x v="6"/>
    <x v="0"/>
    <x v="2"/>
    <x v="0"/>
    <x v="1"/>
    <n v="0"/>
    <x v="1"/>
    <x v="0"/>
  </r>
  <r>
    <x v="2"/>
    <x v="6"/>
    <x v="0"/>
    <x v="2"/>
    <x v="0"/>
    <x v="2"/>
    <n v="0"/>
    <x v="2"/>
    <x v="0"/>
  </r>
  <r>
    <x v="2"/>
    <x v="6"/>
    <x v="0"/>
    <x v="2"/>
    <x v="0"/>
    <x v="3"/>
    <n v="0"/>
    <x v="3"/>
    <x v="1"/>
  </r>
  <r>
    <x v="2"/>
    <x v="6"/>
    <x v="0"/>
    <x v="2"/>
    <x v="0"/>
    <x v="4"/>
    <n v="0"/>
    <x v="4"/>
    <x v="1"/>
  </r>
  <r>
    <x v="2"/>
    <x v="6"/>
    <x v="0"/>
    <x v="2"/>
    <x v="0"/>
    <x v="5"/>
    <n v="0"/>
    <x v="5"/>
    <x v="1"/>
  </r>
  <r>
    <x v="2"/>
    <x v="6"/>
    <x v="0"/>
    <x v="2"/>
    <x v="0"/>
    <x v="6"/>
    <n v="1"/>
    <x v="6"/>
    <x v="1"/>
  </r>
  <r>
    <x v="2"/>
    <x v="6"/>
    <x v="0"/>
    <x v="2"/>
    <x v="0"/>
    <x v="7"/>
    <n v="0"/>
    <x v="7"/>
    <x v="0"/>
  </r>
  <r>
    <x v="2"/>
    <x v="6"/>
    <x v="0"/>
    <x v="2"/>
    <x v="1"/>
    <x v="8"/>
    <n v="0"/>
    <x v="8"/>
    <x v="1"/>
  </r>
  <r>
    <x v="2"/>
    <x v="6"/>
    <x v="0"/>
    <x v="2"/>
    <x v="1"/>
    <x v="9"/>
    <n v="1"/>
    <x v="9"/>
    <x v="1"/>
  </r>
  <r>
    <x v="2"/>
    <x v="6"/>
    <x v="0"/>
    <x v="2"/>
    <x v="1"/>
    <x v="10"/>
    <n v="0"/>
    <x v="10"/>
    <x v="1"/>
  </r>
  <r>
    <x v="2"/>
    <x v="6"/>
    <x v="0"/>
    <x v="2"/>
    <x v="1"/>
    <x v="11"/>
    <n v="0"/>
    <x v="11"/>
    <x v="1"/>
  </r>
  <r>
    <x v="2"/>
    <x v="6"/>
    <x v="0"/>
    <x v="2"/>
    <x v="2"/>
    <x v="12"/>
    <n v="0"/>
    <x v="12"/>
    <x v="0"/>
  </r>
  <r>
    <x v="2"/>
    <x v="6"/>
    <x v="0"/>
    <x v="2"/>
    <x v="2"/>
    <x v="13"/>
    <n v="1"/>
    <x v="13"/>
    <x v="0"/>
  </r>
  <r>
    <x v="2"/>
    <x v="6"/>
    <x v="0"/>
    <x v="2"/>
    <x v="2"/>
    <x v="14"/>
    <n v="0"/>
    <x v="14"/>
    <x v="0"/>
  </r>
  <r>
    <x v="2"/>
    <x v="6"/>
    <x v="0"/>
    <x v="2"/>
    <x v="2"/>
    <x v="15"/>
    <n v="4"/>
    <x v="15"/>
    <x v="1"/>
  </r>
  <r>
    <x v="2"/>
    <x v="6"/>
    <x v="0"/>
    <x v="2"/>
    <x v="2"/>
    <x v="16"/>
    <n v="1"/>
    <x v="16"/>
    <x v="1"/>
  </r>
  <r>
    <x v="2"/>
    <x v="6"/>
    <x v="0"/>
    <x v="2"/>
    <x v="2"/>
    <x v="17"/>
    <n v="1"/>
    <x v="17"/>
    <x v="1"/>
  </r>
  <r>
    <x v="2"/>
    <x v="6"/>
    <x v="0"/>
    <x v="2"/>
    <x v="2"/>
    <x v="18"/>
    <n v="0"/>
    <x v="18"/>
    <x v="1"/>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3"/>
        <item x="1"/>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43" sqref="E4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44518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t="s">
        <v>100</v>
      </c>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93</v>
      </c>
    </row>
    <row r="45" spans="2:5" x14ac:dyDescent="0.25">
      <c r="B45" t="s">
        <v>21</v>
      </c>
      <c r="C45" s="1" t="s">
        <v>102</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Rose Street East</v>
      </c>
      <c r="C4" s="1" t="str">
        <f>Input!C31</f>
        <v>Hoon Hay Road South</v>
      </c>
      <c r="D4" s="1" t="str">
        <f>Input!C42</f>
        <v>Hoon Hay Road North</v>
      </c>
      <c r="E4" s="1">
        <f>Input!C53</f>
        <v>0</v>
      </c>
      <c r="F4" s="1">
        <f>Input!C64</f>
        <v>0</v>
      </c>
      <c r="G4" s="1">
        <f>Input!C75</f>
        <v>0</v>
      </c>
      <c r="H4" s="1">
        <f>Input!C86</f>
        <v>0</v>
      </c>
    </row>
    <row r="6" spans="2:8" x14ac:dyDescent="0.25">
      <c r="B6" t="s">
        <v>18</v>
      </c>
    </row>
    <row r="8" spans="2:8" x14ac:dyDescent="0.25">
      <c r="B8" s="1" t="str">
        <f>Input!C22</f>
        <v>Hard Left into Hoon Hay Road South</v>
      </c>
      <c r="C8" s="1" t="str">
        <f>Input!C33</f>
        <v>Thru to Hoon Hay Road North</v>
      </c>
      <c r="D8" s="1" t="str">
        <f>Input!C44</f>
        <v>Bear Left into Rose Street East</v>
      </c>
      <c r="E8" s="1">
        <f>Input!C55</f>
        <v>0</v>
      </c>
      <c r="F8" s="1">
        <f>Input!C66</f>
        <v>0</v>
      </c>
      <c r="G8" s="1">
        <f>Input!C77</f>
        <v>0</v>
      </c>
      <c r="H8" s="1">
        <f>Input!C88</f>
        <v>0</v>
      </c>
    </row>
    <row r="9" spans="2:8" x14ac:dyDescent="0.25">
      <c r="B9" s="1" t="str">
        <f>Input!C23</f>
        <v>Bear Right into Hoon Hay Road North</v>
      </c>
      <c r="C9" s="1" t="str">
        <f>Input!C34</f>
        <v>Hard Right into Rose Street East</v>
      </c>
      <c r="D9" s="1" t="str">
        <f>Input!C45</f>
        <v>Thru to Hoon Hay Road South</v>
      </c>
      <c r="E9" s="1">
        <f>Input!C56</f>
        <v>0</v>
      </c>
      <c r="F9" s="1">
        <f>Input!C67</f>
        <v>0</v>
      </c>
      <c r="G9" s="1">
        <f>Input!C78</f>
        <v>0</v>
      </c>
      <c r="H9" s="1">
        <f>Input!C89</f>
        <v>0</v>
      </c>
    </row>
    <row r="10" spans="2:8" x14ac:dyDescent="0.25">
      <c r="B10" s="1">
        <f>Input!C24</f>
        <v>0</v>
      </c>
      <c r="C10" s="1" t="str">
        <f>Input!C35</f>
        <v>U-Turn</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Hoon Hay Road South</v>
      </c>
      <c r="C18" s="1" t="str">
        <f>Input!E33</f>
        <v>Hoon Hay Road North</v>
      </c>
      <c r="D18" s="1" t="str">
        <f>Input!E44</f>
        <v>Rose Street East</v>
      </c>
      <c r="E18" s="1">
        <f>Input!E55</f>
        <v>0</v>
      </c>
      <c r="F18" s="1">
        <f>Input!E66</f>
        <v>0</v>
      </c>
      <c r="G18" s="1">
        <f>Input!E77</f>
        <v>0</v>
      </c>
      <c r="H18" s="1">
        <f>Input!E88</f>
        <v>0</v>
      </c>
    </row>
    <row r="19" spans="2:8" x14ac:dyDescent="0.25">
      <c r="B19" s="1" t="str">
        <f>Input!E23</f>
        <v>Hoon Hay Road North</v>
      </c>
      <c r="C19" s="1" t="str">
        <f>Input!E34</f>
        <v>Rose Street East</v>
      </c>
      <c r="D19" s="1" t="str">
        <f>Input!E45</f>
        <v>Hoon Hay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93</v>
      </c>
      <c r="D5" s="16"/>
      <c r="E5" s="18"/>
      <c r="F5" s="26"/>
      <c r="G5" s="16"/>
      <c r="H5" s="18"/>
      <c r="I5" s="29" t="s">
        <v>94</v>
      </c>
      <c r="J5" s="16"/>
      <c r="K5" s="18"/>
      <c r="L5" s="26"/>
      <c r="M5" s="16"/>
      <c r="N5" s="18"/>
      <c r="O5" s="26"/>
      <c r="P5" s="16"/>
      <c r="Q5" s="18"/>
      <c r="R5" s="29" t="s">
        <v>95</v>
      </c>
      <c r="S5" s="16"/>
      <c r="T5" s="18"/>
      <c r="U5" s="26"/>
      <c r="V5" s="16"/>
      <c r="W5" s="32"/>
    </row>
    <row r="6" spans="1:23" x14ac:dyDescent="0.25">
      <c r="C6" s="30" t="s">
        <v>96</v>
      </c>
      <c r="D6" s="17"/>
      <c r="E6" s="19"/>
      <c r="F6" s="27" t="s">
        <v>97</v>
      </c>
      <c r="G6" s="17"/>
      <c r="H6" s="19"/>
      <c r="I6" s="30" t="s">
        <v>98</v>
      </c>
      <c r="J6" s="17"/>
      <c r="K6" s="19"/>
      <c r="L6" s="27" t="s">
        <v>99</v>
      </c>
      <c r="M6" s="17"/>
      <c r="N6" s="19"/>
      <c r="O6" s="27" t="s">
        <v>100</v>
      </c>
      <c r="P6" s="17"/>
      <c r="Q6" s="19"/>
      <c r="R6" s="30" t="s">
        <v>101</v>
      </c>
      <c r="S6" s="17"/>
      <c r="T6" s="19"/>
      <c r="U6" s="27" t="s">
        <v>102</v>
      </c>
      <c r="V6" s="17"/>
      <c r="W6" s="33"/>
    </row>
    <row r="7" spans="1:23"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5" t="s">
        <v>79</v>
      </c>
      <c r="P7" s="43" t="s">
        <v>89</v>
      </c>
      <c r="Q7" s="44" t="s">
        <v>91</v>
      </c>
      <c r="R7" s="42" t="s">
        <v>79</v>
      </c>
      <c r="S7" s="43" t="s">
        <v>89</v>
      </c>
      <c r="T7" s="44" t="s">
        <v>91</v>
      </c>
      <c r="U7" s="45" t="s">
        <v>79</v>
      </c>
      <c r="V7" s="43" t="s">
        <v>89</v>
      </c>
      <c r="W7" s="46" t="s">
        <v>91</v>
      </c>
    </row>
    <row r="8" spans="1:23" x14ac:dyDescent="0.25">
      <c r="A8" s="2" t="s">
        <v>43</v>
      </c>
      <c r="B8" s="7">
        <v>0.29166666666666669</v>
      </c>
      <c r="C8" s="31">
        <v>3</v>
      </c>
      <c r="D8">
        <v>4</v>
      </c>
      <c r="E8">
        <v>0</v>
      </c>
      <c r="F8" s="28">
        <v>18</v>
      </c>
      <c r="G8">
        <v>0</v>
      </c>
      <c r="H8">
        <v>0</v>
      </c>
      <c r="I8" s="31">
        <v>57</v>
      </c>
      <c r="J8">
        <v>2</v>
      </c>
      <c r="K8">
        <v>1</v>
      </c>
      <c r="L8" s="28">
        <v>22</v>
      </c>
      <c r="M8">
        <v>2</v>
      </c>
      <c r="N8">
        <v>3</v>
      </c>
      <c r="O8" s="28">
        <v>0</v>
      </c>
      <c r="P8">
        <v>0</v>
      </c>
      <c r="Q8">
        <v>0</v>
      </c>
      <c r="R8" s="31">
        <v>15</v>
      </c>
      <c r="S8">
        <v>0</v>
      </c>
      <c r="T8">
        <v>0</v>
      </c>
      <c r="U8" s="28">
        <v>21</v>
      </c>
      <c r="V8">
        <v>3</v>
      </c>
      <c r="W8" s="34">
        <v>0</v>
      </c>
    </row>
    <row r="9" spans="1:23" x14ac:dyDescent="0.25">
      <c r="A9" s="2" t="s">
        <v>43</v>
      </c>
      <c r="B9" s="7">
        <v>0.30208333333333331</v>
      </c>
      <c r="C9" s="31">
        <v>3</v>
      </c>
      <c r="D9">
        <v>1</v>
      </c>
      <c r="E9">
        <v>0</v>
      </c>
      <c r="F9" s="28">
        <v>20</v>
      </c>
      <c r="G9">
        <v>0</v>
      </c>
      <c r="H9">
        <v>2</v>
      </c>
      <c r="I9" s="31">
        <v>71</v>
      </c>
      <c r="J9">
        <v>0</v>
      </c>
      <c r="K9">
        <v>1</v>
      </c>
      <c r="L9" s="28">
        <v>38</v>
      </c>
      <c r="M9">
        <v>2</v>
      </c>
      <c r="N9">
        <v>1</v>
      </c>
      <c r="O9" s="28">
        <v>0</v>
      </c>
      <c r="P9">
        <v>0</v>
      </c>
      <c r="Q9">
        <v>0</v>
      </c>
      <c r="R9" s="31">
        <v>19</v>
      </c>
      <c r="S9">
        <v>0</v>
      </c>
      <c r="T9">
        <v>0</v>
      </c>
      <c r="U9" s="28">
        <v>21</v>
      </c>
      <c r="V9">
        <v>1</v>
      </c>
      <c r="W9" s="34">
        <v>0</v>
      </c>
    </row>
    <row r="10" spans="1:23" x14ac:dyDescent="0.25">
      <c r="A10" s="2" t="s">
        <v>43</v>
      </c>
      <c r="B10" s="7">
        <v>0.3125</v>
      </c>
      <c r="C10" s="31">
        <v>5</v>
      </c>
      <c r="D10">
        <v>3</v>
      </c>
      <c r="E10">
        <v>1</v>
      </c>
      <c r="F10" s="28">
        <v>24</v>
      </c>
      <c r="G10">
        <v>0</v>
      </c>
      <c r="H10">
        <v>1</v>
      </c>
      <c r="I10" s="31">
        <v>89</v>
      </c>
      <c r="J10">
        <v>0</v>
      </c>
      <c r="K10">
        <v>3</v>
      </c>
      <c r="L10" s="28">
        <v>45</v>
      </c>
      <c r="M10">
        <v>4</v>
      </c>
      <c r="N10">
        <v>7</v>
      </c>
      <c r="O10" s="28">
        <v>0</v>
      </c>
      <c r="P10">
        <v>0</v>
      </c>
      <c r="Q10">
        <v>0</v>
      </c>
      <c r="R10" s="31">
        <v>30</v>
      </c>
      <c r="S10">
        <v>0</v>
      </c>
      <c r="T10">
        <v>0</v>
      </c>
      <c r="U10" s="28">
        <v>32</v>
      </c>
      <c r="V10">
        <v>0</v>
      </c>
      <c r="W10" s="34">
        <v>0</v>
      </c>
    </row>
    <row r="11" spans="1:23" x14ac:dyDescent="0.25">
      <c r="A11" s="2" t="s">
        <v>43</v>
      </c>
      <c r="B11" s="7">
        <v>0.32291666666666669</v>
      </c>
      <c r="C11" s="31">
        <v>14</v>
      </c>
      <c r="D11">
        <v>2</v>
      </c>
      <c r="E11">
        <v>1</v>
      </c>
      <c r="F11" s="28">
        <v>13</v>
      </c>
      <c r="G11">
        <v>1</v>
      </c>
      <c r="H11">
        <v>1</v>
      </c>
      <c r="I11" s="31">
        <v>74</v>
      </c>
      <c r="J11">
        <v>0</v>
      </c>
      <c r="K11">
        <v>1</v>
      </c>
      <c r="L11" s="28">
        <v>44</v>
      </c>
      <c r="M11">
        <v>1</v>
      </c>
      <c r="N11">
        <v>4</v>
      </c>
      <c r="O11" s="28">
        <v>1</v>
      </c>
      <c r="P11">
        <v>0</v>
      </c>
      <c r="Q11">
        <v>0</v>
      </c>
      <c r="R11" s="31">
        <v>31</v>
      </c>
      <c r="S11">
        <v>2</v>
      </c>
      <c r="T11">
        <v>0</v>
      </c>
      <c r="U11" s="28">
        <v>31</v>
      </c>
      <c r="V11">
        <v>1</v>
      </c>
      <c r="W11" s="34">
        <v>0</v>
      </c>
    </row>
    <row r="12" spans="1:23" x14ac:dyDescent="0.25">
      <c r="A12" s="2" t="s">
        <v>43</v>
      </c>
      <c r="B12" s="7">
        <v>0.33333333333333331</v>
      </c>
      <c r="C12" s="31">
        <v>9</v>
      </c>
      <c r="D12">
        <v>3</v>
      </c>
      <c r="E12">
        <v>0</v>
      </c>
      <c r="F12" s="28">
        <v>28</v>
      </c>
      <c r="G12">
        <v>0</v>
      </c>
      <c r="H12">
        <v>1</v>
      </c>
      <c r="I12" s="31">
        <v>95</v>
      </c>
      <c r="J12">
        <v>3</v>
      </c>
      <c r="K12">
        <v>3</v>
      </c>
      <c r="L12" s="28">
        <v>49</v>
      </c>
      <c r="M12">
        <v>3</v>
      </c>
      <c r="N12">
        <v>7</v>
      </c>
      <c r="O12" s="28">
        <v>0</v>
      </c>
      <c r="P12">
        <v>0</v>
      </c>
      <c r="Q12">
        <v>0</v>
      </c>
      <c r="R12" s="31">
        <v>42</v>
      </c>
      <c r="S12">
        <v>0</v>
      </c>
      <c r="T12">
        <v>1</v>
      </c>
      <c r="U12" s="28">
        <v>35</v>
      </c>
      <c r="V12">
        <v>2</v>
      </c>
      <c r="W12" s="34">
        <v>0</v>
      </c>
    </row>
    <row r="13" spans="1:23" x14ac:dyDescent="0.25">
      <c r="A13" s="2" t="s">
        <v>43</v>
      </c>
      <c r="B13" s="7">
        <v>0.34375</v>
      </c>
      <c r="C13" s="31">
        <v>11</v>
      </c>
      <c r="D13">
        <v>1</v>
      </c>
      <c r="E13">
        <v>0</v>
      </c>
      <c r="F13" s="28">
        <v>20</v>
      </c>
      <c r="G13">
        <v>0</v>
      </c>
      <c r="H13">
        <v>0</v>
      </c>
      <c r="I13" s="31">
        <v>100</v>
      </c>
      <c r="J13">
        <v>1</v>
      </c>
      <c r="K13">
        <v>7</v>
      </c>
      <c r="L13" s="28">
        <v>59</v>
      </c>
      <c r="M13">
        <v>3</v>
      </c>
      <c r="N13">
        <v>2</v>
      </c>
      <c r="O13" s="28">
        <v>0</v>
      </c>
      <c r="P13">
        <v>0</v>
      </c>
      <c r="Q13">
        <v>0</v>
      </c>
      <c r="R13" s="31">
        <v>41</v>
      </c>
      <c r="S13">
        <v>1</v>
      </c>
      <c r="T13">
        <v>0</v>
      </c>
      <c r="U13" s="28">
        <v>26</v>
      </c>
      <c r="V13">
        <v>1</v>
      </c>
      <c r="W13" s="34">
        <v>0</v>
      </c>
    </row>
    <row r="14" spans="1:23" x14ac:dyDescent="0.25">
      <c r="A14" s="2" t="s">
        <v>43</v>
      </c>
      <c r="B14" s="7">
        <v>0.35416666666666669</v>
      </c>
      <c r="C14" s="31">
        <v>19</v>
      </c>
      <c r="D14">
        <v>6</v>
      </c>
      <c r="E14">
        <v>0</v>
      </c>
      <c r="F14" s="28">
        <v>40</v>
      </c>
      <c r="G14">
        <v>1</v>
      </c>
      <c r="H14">
        <v>0</v>
      </c>
      <c r="I14" s="31">
        <v>92</v>
      </c>
      <c r="J14">
        <v>3</v>
      </c>
      <c r="K14">
        <v>1</v>
      </c>
      <c r="L14" s="28">
        <v>56</v>
      </c>
      <c r="M14">
        <v>2</v>
      </c>
      <c r="N14">
        <v>1</v>
      </c>
      <c r="O14" s="28">
        <v>0</v>
      </c>
      <c r="P14">
        <v>0</v>
      </c>
      <c r="Q14">
        <v>0</v>
      </c>
      <c r="R14" s="31">
        <v>48</v>
      </c>
      <c r="S14">
        <v>0</v>
      </c>
      <c r="T14">
        <v>0</v>
      </c>
      <c r="U14" s="28">
        <v>32</v>
      </c>
      <c r="V14">
        <v>4</v>
      </c>
      <c r="W14" s="34">
        <v>1</v>
      </c>
    </row>
    <row r="15" spans="1:23" ht="15.75" thickBot="1" x14ac:dyDescent="0.3">
      <c r="A15" s="2" t="s">
        <v>43</v>
      </c>
      <c r="B15" s="7">
        <v>0.36458333333333331</v>
      </c>
      <c r="C15" s="31">
        <v>19</v>
      </c>
      <c r="D15">
        <v>3</v>
      </c>
      <c r="E15">
        <v>0</v>
      </c>
      <c r="F15" s="28">
        <v>16</v>
      </c>
      <c r="G15">
        <v>0</v>
      </c>
      <c r="H15">
        <v>0</v>
      </c>
      <c r="I15" s="31">
        <v>60</v>
      </c>
      <c r="J15">
        <v>0</v>
      </c>
      <c r="K15">
        <v>1</v>
      </c>
      <c r="L15" s="28">
        <v>37</v>
      </c>
      <c r="M15">
        <v>2</v>
      </c>
      <c r="N15">
        <v>1</v>
      </c>
      <c r="O15" s="28">
        <v>1</v>
      </c>
      <c r="P15">
        <v>0</v>
      </c>
      <c r="Q15">
        <v>0</v>
      </c>
      <c r="R15" s="31">
        <v>35</v>
      </c>
      <c r="S15">
        <v>0</v>
      </c>
      <c r="T15">
        <v>0</v>
      </c>
      <c r="U15" s="28">
        <v>39</v>
      </c>
      <c r="V15">
        <v>3</v>
      </c>
      <c r="W15" s="34">
        <v>0</v>
      </c>
    </row>
    <row r="16" spans="1:23" ht="15.75" thickBot="1" x14ac:dyDescent="0.3">
      <c r="A16" s="22"/>
      <c r="B16" s="22"/>
      <c r="C16" s="35"/>
      <c r="D16" s="20"/>
      <c r="E16" s="20"/>
      <c r="F16" s="36"/>
      <c r="G16" s="20"/>
      <c r="H16" s="20"/>
      <c r="I16" s="35"/>
      <c r="J16" s="20"/>
      <c r="K16" s="20"/>
      <c r="L16" s="36"/>
      <c r="M16" s="20"/>
      <c r="N16" s="20"/>
      <c r="O16" s="36"/>
      <c r="P16" s="20"/>
      <c r="Q16" s="20"/>
      <c r="R16" s="35"/>
      <c r="S16" s="20"/>
      <c r="T16" s="20"/>
      <c r="U16" s="36"/>
      <c r="V16" s="20"/>
      <c r="W16" s="37"/>
    </row>
    <row r="17" spans="1:23" x14ac:dyDescent="0.25">
      <c r="A17" s="2" t="s">
        <v>90</v>
      </c>
      <c r="B17" s="7">
        <v>0.54166666666666663</v>
      </c>
      <c r="C17" s="31">
        <v>23</v>
      </c>
      <c r="D17">
        <v>3</v>
      </c>
      <c r="E17">
        <v>1</v>
      </c>
      <c r="F17" s="28">
        <v>18</v>
      </c>
      <c r="G17">
        <v>0</v>
      </c>
      <c r="H17">
        <v>0</v>
      </c>
      <c r="I17" s="31">
        <v>45</v>
      </c>
      <c r="J17">
        <v>3</v>
      </c>
      <c r="K17">
        <v>1</v>
      </c>
      <c r="L17" s="28">
        <v>9</v>
      </c>
      <c r="M17">
        <v>3</v>
      </c>
      <c r="N17">
        <v>3</v>
      </c>
      <c r="O17" s="28">
        <v>0</v>
      </c>
      <c r="P17">
        <v>0</v>
      </c>
      <c r="Q17">
        <v>0</v>
      </c>
      <c r="R17" s="31">
        <v>14</v>
      </c>
      <c r="S17">
        <v>0</v>
      </c>
      <c r="T17">
        <v>0</v>
      </c>
      <c r="U17" s="28">
        <v>36</v>
      </c>
      <c r="V17">
        <v>1</v>
      </c>
      <c r="W17" s="34">
        <v>0</v>
      </c>
    </row>
    <row r="18" spans="1:23" x14ac:dyDescent="0.25">
      <c r="A18" s="2" t="s">
        <v>90</v>
      </c>
      <c r="B18" s="7">
        <v>0.55208333333333337</v>
      </c>
      <c r="C18" s="31">
        <v>21</v>
      </c>
      <c r="D18">
        <v>1</v>
      </c>
      <c r="E18">
        <v>1</v>
      </c>
      <c r="F18" s="28">
        <v>12</v>
      </c>
      <c r="G18">
        <v>0</v>
      </c>
      <c r="H18">
        <v>0</v>
      </c>
      <c r="I18" s="31">
        <v>26</v>
      </c>
      <c r="J18">
        <v>3</v>
      </c>
      <c r="K18">
        <v>0</v>
      </c>
      <c r="L18" s="28">
        <v>10</v>
      </c>
      <c r="M18">
        <v>3</v>
      </c>
      <c r="N18">
        <v>0</v>
      </c>
      <c r="O18" s="28">
        <v>2</v>
      </c>
      <c r="P18">
        <v>0</v>
      </c>
      <c r="Q18">
        <v>0</v>
      </c>
      <c r="R18" s="31">
        <v>11</v>
      </c>
      <c r="S18">
        <v>0</v>
      </c>
      <c r="T18">
        <v>0</v>
      </c>
      <c r="U18" s="28">
        <v>28</v>
      </c>
      <c r="V18">
        <v>0</v>
      </c>
      <c r="W18" s="34">
        <v>1</v>
      </c>
    </row>
    <row r="19" spans="1:23" x14ac:dyDescent="0.25">
      <c r="A19" s="2" t="s">
        <v>90</v>
      </c>
      <c r="B19" s="7">
        <v>0.5625</v>
      </c>
      <c r="C19" s="31">
        <v>20</v>
      </c>
      <c r="D19">
        <v>3</v>
      </c>
      <c r="E19">
        <v>0</v>
      </c>
      <c r="F19" s="28">
        <v>12</v>
      </c>
      <c r="G19">
        <v>0</v>
      </c>
      <c r="H19">
        <v>0</v>
      </c>
      <c r="I19" s="31">
        <v>43</v>
      </c>
      <c r="J19">
        <v>1</v>
      </c>
      <c r="K19">
        <v>0</v>
      </c>
      <c r="L19" s="28">
        <v>21</v>
      </c>
      <c r="M19">
        <v>2</v>
      </c>
      <c r="N19">
        <v>2</v>
      </c>
      <c r="O19" s="28">
        <v>0</v>
      </c>
      <c r="P19">
        <v>0</v>
      </c>
      <c r="Q19">
        <v>0</v>
      </c>
      <c r="R19" s="31">
        <v>18</v>
      </c>
      <c r="S19">
        <v>1</v>
      </c>
      <c r="T19">
        <v>0</v>
      </c>
      <c r="U19" s="28">
        <v>27</v>
      </c>
      <c r="V19">
        <v>1</v>
      </c>
      <c r="W19" s="34">
        <v>0</v>
      </c>
    </row>
    <row r="20" spans="1:23" ht="15.75" thickBot="1" x14ac:dyDescent="0.3">
      <c r="A20" s="2" t="s">
        <v>90</v>
      </c>
      <c r="B20" s="7">
        <v>0.57291666666666663</v>
      </c>
      <c r="C20" s="31">
        <v>25</v>
      </c>
      <c r="D20">
        <v>2</v>
      </c>
      <c r="E20">
        <v>0</v>
      </c>
      <c r="F20" s="28">
        <v>15</v>
      </c>
      <c r="G20">
        <v>0</v>
      </c>
      <c r="H20">
        <v>0</v>
      </c>
      <c r="I20" s="31">
        <v>43</v>
      </c>
      <c r="J20">
        <v>2</v>
      </c>
      <c r="K20">
        <v>1</v>
      </c>
      <c r="L20" s="28">
        <v>18</v>
      </c>
      <c r="M20">
        <v>3</v>
      </c>
      <c r="N20">
        <v>1</v>
      </c>
      <c r="O20" s="28">
        <v>0</v>
      </c>
      <c r="P20">
        <v>0</v>
      </c>
      <c r="Q20">
        <v>0</v>
      </c>
      <c r="R20" s="31">
        <v>22</v>
      </c>
      <c r="S20">
        <v>2</v>
      </c>
      <c r="T20">
        <v>0</v>
      </c>
      <c r="U20" s="28">
        <v>29</v>
      </c>
      <c r="V20">
        <v>1</v>
      </c>
      <c r="W20" s="34">
        <v>0</v>
      </c>
    </row>
    <row r="21" spans="1:23" ht="15.75" thickBot="1" x14ac:dyDescent="0.3">
      <c r="A21" s="22"/>
      <c r="B21" s="22"/>
      <c r="C21" s="35"/>
      <c r="D21" s="20"/>
      <c r="E21" s="20"/>
      <c r="F21" s="36"/>
      <c r="G21" s="20"/>
      <c r="H21" s="20"/>
      <c r="I21" s="35"/>
      <c r="J21" s="20"/>
      <c r="K21" s="20"/>
      <c r="L21" s="36"/>
      <c r="M21" s="20"/>
      <c r="N21" s="20"/>
      <c r="O21" s="36"/>
      <c r="P21" s="20"/>
      <c r="Q21" s="20"/>
      <c r="R21" s="35"/>
      <c r="S21" s="20"/>
      <c r="T21" s="20"/>
      <c r="U21" s="36"/>
      <c r="V21" s="20"/>
      <c r="W21" s="37"/>
    </row>
    <row r="22" spans="1:23" x14ac:dyDescent="0.25">
      <c r="A22" s="2" t="s">
        <v>44</v>
      </c>
      <c r="B22" s="7">
        <v>0.66666666666666663</v>
      </c>
      <c r="C22" s="31">
        <v>37</v>
      </c>
      <c r="D22">
        <v>3</v>
      </c>
      <c r="E22">
        <v>2</v>
      </c>
      <c r="F22" s="28">
        <v>23</v>
      </c>
      <c r="G22">
        <v>1</v>
      </c>
      <c r="H22">
        <v>0</v>
      </c>
      <c r="I22" s="31">
        <v>45</v>
      </c>
      <c r="J22">
        <v>0</v>
      </c>
      <c r="K22">
        <v>2</v>
      </c>
      <c r="L22" s="28">
        <v>20</v>
      </c>
      <c r="M22">
        <v>3</v>
      </c>
      <c r="N22">
        <v>2</v>
      </c>
      <c r="O22" s="28">
        <v>0</v>
      </c>
      <c r="P22">
        <v>0</v>
      </c>
      <c r="Q22">
        <v>0</v>
      </c>
      <c r="R22" s="31">
        <v>36</v>
      </c>
      <c r="S22">
        <v>0</v>
      </c>
      <c r="T22">
        <v>0</v>
      </c>
      <c r="U22" s="28">
        <v>56</v>
      </c>
      <c r="V22">
        <v>0</v>
      </c>
      <c r="W22" s="34">
        <v>0</v>
      </c>
    </row>
    <row r="23" spans="1:23" x14ac:dyDescent="0.25">
      <c r="A23" s="2" t="s">
        <v>44</v>
      </c>
      <c r="B23" s="7">
        <v>0.67708333333333337</v>
      </c>
      <c r="C23" s="31">
        <v>31</v>
      </c>
      <c r="D23">
        <v>3</v>
      </c>
      <c r="E23">
        <v>3</v>
      </c>
      <c r="F23" s="28">
        <v>18</v>
      </c>
      <c r="G23">
        <v>0</v>
      </c>
      <c r="H23">
        <v>0</v>
      </c>
      <c r="I23" s="31">
        <v>50</v>
      </c>
      <c r="J23">
        <v>1</v>
      </c>
      <c r="K23">
        <v>0</v>
      </c>
      <c r="L23" s="28">
        <v>30</v>
      </c>
      <c r="M23">
        <v>1</v>
      </c>
      <c r="N23">
        <v>1</v>
      </c>
      <c r="O23" s="28">
        <v>0</v>
      </c>
      <c r="P23">
        <v>0</v>
      </c>
      <c r="Q23">
        <v>0</v>
      </c>
      <c r="R23" s="31">
        <v>37</v>
      </c>
      <c r="S23">
        <v>0</v>
      </c>
      <c r="T23">
        <v>1</v>
      </c>
      <c r="U23" s="28">
        <v>54</v>
      </c>
      <c r="V23">
        <v>3</v>
      </c>
      <c r="W23" s="34">
        <v>1</v>
      </c>
    </row>
    <row r="24" spans="1:23" x14ac:dyDescent="0.25">
      <c r="A24" s="2" t="s">
        <v>44</v>
      </c>
      <c r="B24" s="7">
        <v>0.6875</v>
      </c>
      <c r="C24" s="31">
        <v>55</v>
      </c>
      <c r="D24">
        <v>2</v>
      </c>
      <c r="E24">
        <v>3</v>
      </c>
      <c r="F24" s="28">
        <v>35</v>
      </c>
      <c r="G24">
        <v>0</v>
      </c>
      <c r="H24">
        <v>0</v>
      </c>
      <c r="I24" s="31">
        <v>61</v>
      </c>
      <c r="J24">
        <v>4</v>
      </c>
      <c r="K24">
        <v>0</v>
      </c>
      <c r="L24" s="28">
        <v>26</v>
      </c>
      <c r="M24">
        <v>4</v>
      </c>
      <c r="N24">
        <v>0</v>
      </c>
      <c r="O24" s="28">
        <v>0</v>
      </c>
      <c r="P24">
        <v>0</v>
      </c>
      <c r="Q24">
        <v>0</v>
      </c>
      <c r="R24" s="31">
        <v>37</v>
      </c>
      <c r="S24">
        <v>0</v>
      </c>
      <c r="T24">
        <v>0</v>
      </c>
      <c r="U24" s="28">
        <v>67</v>
      </c>
      <c r="V24">
        <v>1</v>
      </c>
      <c r="W24" s="34">
        <v>0</v>
      </c>
    </row>
    <row r="25" spans="1:23" x14ac:dyDescent="0.25">
      <c r="A25" s="2" t="s">
        <v>44</v>
      </c>
      <c r="B25" s="7">
        <v>0.69791666666666663</v>
      </c>
      <c r="C25" s="31">
        <v>51</v>
      </c>
      <c r="D25">
        <v>2</v>
      </c>
      <c r="E25">
        <v>5</v>
      </c>
      <c r="F25" s="28">
        <v>27</v>
      </c>
      <c r="G25">
        <v>0</v>
      </c>
      <c r="H25">
        <v>0</v>
      </c>
      <c r="I25" s="31">
        <v>55</v>
      </c>
      <c r="J25">
        <v>0</v>
      </c>
      <c r="K25">
        <v>0</v>
      </c>
      <c r="L25" s="28">
        <v>24</v>
      </c>
      <c r="M25">
        <v>1</v>
      </c>
      <c r="N25">
        <v>1</v>
      </c>
      <c r="O25" s="28">
        <v>0</v>
      </c>
      <c r="P25">
        <v>0</v>
      </c>
      <c r="Q25">
        <v>0</v>
      </c>
      <c r="R25" s="31">
        <v>64</v>
      </c>
      <c r="S25">
        <v>0</v>
      </c>
      <c r="T25">
        <v>0</v>
      </c>
      <c r="U25" s="28">
        <v>83</v>
      </c>
      <c r="V25">
        <v>1</v>
      </c>
      <c r="W25" s="34">
        <v>4</v>
      </c>
    </row>
    <row r="26" spans="1:23" x14ac:dyDescent="0.25">
      <c r="A26" s="2" t="s">
        <v>44</v>
      </c>
      <c r="B26" s="7">
        <v>0.70833333333333337</v>
      </c>
      <c r="C26" s="31">
        <v>46</v>
      </c>
      <c r="D26">
        <v>2</v>
      </c>
      <c r="E26">
        <v>9</v>
      </c>
      <c r="F26" s="28">
        <v>25</v>
      </c>
      <c r="G26">
        <v>0</v>
      </c>
      <c r="H26">
        <v>1</v>
      </c>
      <c r="I26" s="31">
        <v>59</v>
      </c>
      <c r="J26">
        <v>1</v>
      </c>
      <c r="K26">
        <v>1</v>
      </c>
      <c r="L26" s="28">
        <v>21</v>
      </c>
      <c r="M26">
        <v>3</v>
      </c>
      <c r="N26">
        <v>0</v>
      </c>
      <c r="O26" s="28">
        <v>0</v>
      </c>
      <c r="P26">
        <v>0</v>
      </c>
      <c r="Q26">
        <v>0</v>
      </c>
      <c r="R26" s="31">
        <v>63</v>
      </c>
      <c r="S26">
        <v>0</v>
      </c>
      <c r="T26">
        <v>3</v>
      </c>
      <c r="U26" s="28">
        <v>54</v>
      </c>
      <c r="V26">
        <v>0</v>
      </c>
      <c r="W26" s="34">
        <v>1</v>
      </c>
    </row>
    <row r="27" spans="1:23" x14ac:dyDescent="0.25">
      <c r="A27" s="2" t="s">
        <v>44</v>
      </c>
      <c r="B27" s="7">
        <v>0.71875</v>
      </c>
      <c r="C27" s="31">
        <v>54</v>
      </c>
      <c r="D27">
        <v>1</v>
      </c>
      <c r="E27">
        <v>7</v>
      </c>
      <c r="F27" s="28">
        <v>28</v>
      </c>
      <c r="G27">
        <v>0</v>
      </c>
      <c r="H27">
        <v>0</v>
      </c>
      <c r="I27" s="31">
        <v>64</v>
      </c>
      <c r="J27">
        <v>3</v>
      </c>
      <c r="K27">
        <v>1</v>
      </c>
      <c r="L27" s="28">
        <v>18</v>
      </c>
      <c r="M27">
        <v>1</v>
      </c>
      <c r="N27">
        <v>1</v>
      </c>
      <c r="O27" s="28">
        <v>0</v>
      </c>
      <c r="P27">
        <v>0</v>
      </c>
      <c r="Q27">
        <v>0</v>
      </c>
      <c r="R27" s="31">
        <v>39</v>
      </c>
      <c r="S27">
        <v>0</v>
      </c>
      <c r="T27">
        <v>1</v>
      </c>
      <c r="U27" s="28">
        <v>64</v>
      </c>
      <c r="V27">
        <v>0</v>
      </c>
      <c r="W27" s="34">
        <v>1</v>
      </c>
    </row>
    <row r="28" spans="1:23" x14ac:dyDescent="0.25">
      <c r="A28" s="2" t="s">
        <v>44</v>
      </c>
      <c r="B28" s="7">
        <v>0.72916666666666663</v>
      </c>
      <c r="C28" s="31">
        <v>59</v>
      </c>
      <c r="D28">
        <v>3</v>
      </c>
      <c r="E28">
        <v>5</v>
      </c>
      <c r="F28" s="28">
        <v>25</v>
      </c>
      <c r="G28">
        <v>0</v>
      </c>
      <c r="H28">
        <v>0</v>
      </c>
      <c r="I28" s="31">
        <v>54</v>
      </c>
      <c r="J28">
        <v>1</v>
      </c>
      <c r="K28">
        <v>2</v>
      </c>
      <c r="L28" s="28">
        <v>20</v>
      </c>
      <c r="M28">
        <v>3</v>
      </c>
      <c r="N28">
        <v>2</v>
      </c>
      <c r="O28" s="28">
        <v>0</v>
      </c>
      <c r="P28">
        <v>0</v>
      </c>
      <c r="Q28">
        <v>0</v>
      </c>
      <c r="R28" s="31">
        <v>59</v>
      </c>
      <c r="S28">
        <v>0</v>
      </c>
      <c r="T28">
        <v>1</v>
      </c>
      <c r="U28" s="28">
        <v>85</v>
      </c>
      <c r="V28">
        <v>0</v>
      </c>
      <c r="W28" s="34">
        <v>0</v>
      </c>
    </row>
    <row r="29" spans="1:23" ht="15.75" thickBot="1" x14ac:dyDescent="0.3">
      <c r="A29" s="21" t="s">
        <v>44</v>
      </c>
      <c r="B29" s="48">
        <v>0.73958333333333337</v>
      </c>
      <c r="C29" s="39">
        <v>62</v>
      </c>
      <c r="D29" s="38">
        <v>3</v>
      </c>
      <c r="E29" s="38">
        <v>3</v>
      </c>
      <c r="F29" s="40">
        <v>19</v>
      </c>
      <c r="G29" s="38">
        <v>0</v>
      </c>
      <c r="H29" s="38">
        <v>0</v>
      </c>
      <c r="I29" s="39">
        <v>58</v>
      </c>
      <c r="J29" s="38">
        <v>1</v>
      </c>
      <c r="K29" s="38">
        <v>1</v>
      </c>
      <c r="L29" s="40">
        <v>19</v>
      </c>
      <c r="M29" s="38">
        <v>4</v>
      </c>
      <c r="N29" s="38">
        <v>1</v>
      </c>
      <c r="O29" s="40">
        <v>0</v>
      </c>
      <c r="P29" s="38">
        <v>0</v>
      </c>
      <c r="Q29" s="38">
        <v>0</v>
      </c>
      <c r="R29" s="39">
        <v>26</v>
      </c>
      <c r="S29" s="38">
        <v>0</v>
      </c>
      <c r="T29" s="38">
        <v>0</v>
      </c>
      <c r="U29" s="40">
        <v>62</v>
      </c>
      <c r="V29" s="38">
        <v>1</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3</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5</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14</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9</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11</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19</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19</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23</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21</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20</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25</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37</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31</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55</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51</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46</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54</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59</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62</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4</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3</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6</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3</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3</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3</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3</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3</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2</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3</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2</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3</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3</v>
      </c>
      <c r="H56" s="6">
        <f>FLOOR(tblPivotData[[#This Row],[Time]],Summary!$B$6/1440)</f>
        <v>0.6875</v>
      </c>
      <c r="I56" s="49">
        <f>INDEX(PeakCalc!$L$10:$L$303,MATCH(tblPivotData[[#This Row],[Time]],PeakCalc!$G$10:$G$303,0))</f>
        <v>0</v>
      </c>
    </row>
    <row r="57" spans="1:9" x14ac:dyDescent="0.25">
      <c r="A57" t="s">
        <v>93</v>
      </c>
      <c r="B57" t="s">
        <v>96</v>
      </c>
      <c r="C57" t="s">
        <v>94</v>
      </c>
      <c r="D57" t="s">
        <v>91</v>
      </c>
      <c r="E57" t="s">
        <v>44</v>
      </c>
      <c r="F57" s="6">
        <v>0.69791666666666663</v>
      </c>
      <c r="G57">
        <v>5</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9</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7</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5</v>
      </c>
      <c r="H60" s="6">
        <f>FLOOR(tblPivotData[[#This Row],[Time]],Summary!$B$6/1440)</f>
        <v>0.72916666666666663</v>
      </c>
      <c r="I60" s="49">
        <f>INDEX(PeakCalc!$L$10:$L$303,MATCH(tblPivotData[[#This Row],[Time]],PeakCalc!$G$10:$G$303,0))</f>
        <v>1</v>
      </c>
    </row>
    <row r="61" spans="1:9" x14ac:dyDescent="0.25">
      <c r="A61" t="s">
        <v>93</v>
      </c>
      <c r="B61" t="s">
        <v>96</v>
      </c>
      <c r="C61" t="s">
        <v>94</v>
      </c>
      <c r="D61" t="s">
        <v>91</v>
      </c>
      <c r="E61" t="s">
        <v>44</v>
      </c>
      <c r="F61" s="6">
        <v>0.73958333333333337</v>
      </c>
      <c r="G61">
        <v>3</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18</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20</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24</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13</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28</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40</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16</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18</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12</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12</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15</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23</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18</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35</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27</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25</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28</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25</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19</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0</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57</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71</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89</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74</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95</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100</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92</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60</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45</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26</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43</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43</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45</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50</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61</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55</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59</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64</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54</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58</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3</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3</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3</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2</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4</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3</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1</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3</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3</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7</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1</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1</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2</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1</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2</v>
      </c>
      <c r="H180" s="6">
        <f>FLOOR(tblPivotData[[#This Row],[Time]],Summary!$B$6/1440)</f>
        <v>0.72916666666666663</v>
      </c>
      <c r="I180" s="49">
        <f>INDEX(PeakCalc!$L$10:$L$303,MATCH(tblPivotData[[#This Row],[Time]],PeakCalc!$G$10:$G$303,0))</f>
        <v>1</v>
      </c>
    </row>
    <row r="181" spans="1:9" x14ac:dyDescent="0.25">
      <c r="A181" t="s">
        <v>94</v>
      </c>
      <c r="B181" t="s">
        <v>98</v>
      </c>
      <c r="C181" t="s">
        <v>95</v>
      </c>
      <c r="D181" t="s">
        <v>91</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22</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38</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45</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44</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49</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59</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56</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37</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9</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10</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21</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18</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20</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30</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26</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24</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21</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18</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20</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19</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4</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3</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3</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3</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3</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2</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3</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3</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4</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3</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3</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4</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3</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7</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4</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7</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2</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3</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2</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2</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99</v>
      </c>
      <c r="C237" t="s">
        <v>93</v>
      </c>
      <c r="D237" t="s">
        <v>91</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2</v>
      </c>
      <c r="H240" s="6">
        <f>FLOOR(tblPivotData[[#This Row],[Time]],Summary!$B$6/1440)</f>
        <v>0.72916666666666663</v>
      </c>
      <c r="I240" s="49">
        <f>INDEX(PeakCalc!$L$10:$L$303,MATCH(tblPivotData[[#This Row],[Time]],PeakCalc!$G$10:$G$303,0))</f>
        <v>1</v>
      </c>
    </row>
    <row r="241" spans="1:9" x14ac:dyDescent="0.25">
      <c r="A241" t="s">
        <v>94</v>
      </c>
      <c r="B241" t="s">
        <v>99</v>
      </c>
      <c r="C241" t="s">
        <v>93</v>
      </c>
      <c r="D241" t="s">
        <v>91</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94</v>
      </c>
      <c r="B242" t="s">
        <v>100</v>
      </c>
      <c r="C242">
        <v>0</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100</v>
      </c>
      <c r="C243">
        <v>0</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100</v>
      </c>
      <c r="C244">
        <v>0</v>
      </c>
      <c r="D244" t="s">
        <v>79</v>
      </c>
      <c r="E244" t="s">
        <v>43</v>
      </c>
      <c r="F244" s="6">
        <v>0.3125</v>
      </c>
      <c r="G244">
        <v>0</v>
      </c>
      <c r="H244" s="6">
        <f>FLOOR(tblPivotData[[#This Row],[Time]],Summary!$B$6/1440)</f>
        <v>0.3125</v>
      </c>
      <c r="I244" s="49">
        <f>INDEX(PeakCalc!$L$10:$L$303,MATCH(tblPivotData[[#This Row],[Time]],PeakCalc!$G$10:$G$303,0))</f>
        <v>0</v>
      </c>
    </row>
    <row r="245" spans="1:9" x14ac:dyDescent="0.25">
      <c r="A245" t="s">
        <v>94</v>
      </c>
      <c r="B245" t="s">
        <v>100</v>
      </c>
      <c r="C245">
        <v>0</v>
      </c>
      <c r="D245" t="s">
        <v>79</v>
      </c>
      <c r="E245" t="s">
        <v>43</v>
      </c>
      <c r="F245" s="6">
        <v>0.32291666666666669</v>
      </c>
      <c r="G245">
        <v>1</v>
      </c>
      <c r="H245" s="6">
        <f>FLOOR(tblPivotData[[#This Row],[Time]],Summary!$B$6/1440)</f>
        <v>0.32291666666666663</v>
      </c>
      <c r="I245" s="49">
        <f>INDEX(PeakCalc!$L$10:$L$303,MATCH(tblPivotData[[#This Row],[Time]],PeakCalc!$G$10:$G$303,0))</f>
        <v>1</v>
      </c>
    </row>
    <row r="246" spans="1:9" x14ac:dyDescent="0.25">
      <c r="A246" t="s">
        <v>94</v>
      </c>
      <c r="B246" t="s">
        <v>100</v>
      </c>
      <c r="C246">
        <v>0</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94</v>
      </c>
      <c r="B247" t="s">
        <v>100</v>
      </c>
      <c r="C247">
        <v>0</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94</v>
      </c>
      <c r="B248" t="s">
        <v>100</v>
      </c>
      <c r="C248">
        <v>0</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94</v>
      </c>
      <c r="B249" t="s">
        <v>100</v>
      </c>
      <c r="C249">
        <v>0</v>
      </c>
      <c r="D249" t="s">
        <v>79</v>
      </c>
      <c r="E249" t="s">
        <v>43</v>
      </c>
      <c r="F249" s="6">
        <v>0.36458333333333331</v>
      </c>
      <c r="G249">
        <v>1</v>
      </c>
      <c r="H249" s="6">
        <f>FLOOR(tblPivotData[[#This Row],[Time]],Summary!$B$6/1440)</f>
        <v>0.36458333333333331</v>
      </c>
      <c r="I249" s="49">
        <f>INDEX(PeakCalc!$L$10:$L$303,MATCH(tblPivotData[[#This Row],[Time]],PeakCalc!$G$10:$G$303,0))</f>
        <v>0</v>
      </c>
    </row>
    <row r="250" spans="1:9" x14ac:dyDescent="0.25">
      <c r="A250" t="s">
        <v>94</v>
      </c>
      <c r="B250" t="s">
        <v>100</v>
      </c>
      <c r="C250">
        <v>0</v>
      </c>
      <c r="D250" t="s">
        <v>79</v>
      </c>
      <c r="E250" t="s">
        <v>90</v>
      </c>
      <c r="F250" s="6">
        <v>0.54166666666666663</v>
      </c>
      <c r="G250">
        <v>0</v>
      </c>
      <c r="H250" s="6">
        <f>FLOOR(tblPivotData[[#This Row],[Time]],Summary!$B$6/1440)</f>
        <v>0.54166666666666663</v>
      </c>
      <c r="I250" s="49">
        <f>INDEX(PeakCalc!$L$10:$L$303,MATCH(tblPivotData[[#This Row],[Time]],PeakCalc!$G$10:$G$303,0))</f>
        <v>1</v>
      </c>
    </row>
    <row r="251" spans="1:9" x14ac:dyDescent="0.25">
      <c r="A251" t="s">
        <v>94</v>
      </c>
      <c r="B251" t="s">
        <v>100</v>
      </c>
      <c r="C251">
        <v>0</v>
      </c>
      <c r="D251" t="s">
        <v>79</v>
      </c>
      <c r="E251" t="s">
        <v>90</v>
      </c>
      <c r="F251" s="6">
        <v>0.55208333333333337</v>
      </c>
      <c r="G251">
        <v>2</v>
      </c>
      <c r="H251" s="6">
        <f>FLOOR(tblPivotData[[#This Row],[Time]],Summary!$B$6/1440)</f>
        <v>0.55208333333333326</v>
      </c>
      <c r="I251" s="49">
        <f>INDEX(PeakCalc!$L$10:$L$303,MATCH(tblPivotData[[#This Row],[Time]],PeakCalc!$G$10:$G$303,0))</f>
        <v>1</v>
      </c>
    </row>
    <row r="252" spans="1:9" x14ac:dyDescent="0.25">
      <c r="A252" t="s">
        <v>94</v>
      </c>
      <c r="B252" t="s">
        <v>100</v>
      </c>
      <c r="C252">
        <v>0</v>
      </c>
      <c r="D252" t="s">
        <v>79</v>
      </c>
      <c r="E252" t="s">
        <v>90</v>
      </c>
      <c r="F252" s="6">
        <v>0.5625</v>
      </c>
      <c r="G252">
        <v>0</v>
      </c>
      <c r="H252" s="6">
        <f>FLOOR(tblPivotData[[#This Row],[Time]],Summary!$B$6/1440)</f>
        <v>0.5625</v>
      </c>
      <c r="I252" s="49">
        <f>INDEX(PeakCalc!$L$10:$L$303,MATCH(tblPivotData[[#This Row],[Time]],PeakCalc!$G$10:$G$303,0))</f>
        <v>1</v>
      </c>
    </row>
    <row r="253" spans="1:9" x14ac:dyDescent="0.25">
      <c r="A253" t="s">
        <v>94</v>
      </c>
      <c r="B253" t="s">
        <v>100</v>
      </c>
      <c r="C253">
        <v>0</v>
      </c>
      <c r="D253" t="s">
        <v>79</v>
      </c>
      <c r="E253" t="s">
        <v>90</v>
      </c>
      <c r="F253" s="6">
        <v>0.57291666666666663</v>
      </c>
      <c r="G253">
        <v>0</v>
      </c>
      <c r="H253" s="6">
        <f>FLOOR(tblPivotData[[#This Row],[Time]],Summary!$B$6/1440)</f>
        <v>0.57291666666666663</v>
      </c>
      <c r="I253" s="49">
        <f>INDEX(PeakCalc!$L$10:$L$303,MATCH(tblPivotData[[#This Row],[Time]],PeakCalc!$G$10:$G$303,0))</f>
        <v>1</v>
      </c>
    </row>
    <row r="254" spans="1:9" x14ac:dyDescent="0.25">
      <c r="A254" t="s">
        <v>94</v>
      </c>
      <c r="B254" t="s">
        <v>100</v>
      </c>
      <c r="C254">
        <v>0</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94</v>
      </c>
      <c r="B255" t="s">
        <v>100</v>
      </c>
      <c r="C255">
        <v>0</v>
      </c>
      <c r="D255" t="s">
        <v>79</v>
      </c>
      <c r="E255" t="s">
        <v>44</v>
      </c>
      <c r="F255" s="6">
        <v>0.67708333333333337</v>
      </c>
      <c r="G255">
        <v>0</v>
      </c>
      <c r="H255" s="6">
        <f>FLOOR(tblPivotData[[#This Row],[Time]],Summary!$B$6/1440)</f>
        <v>0.67708333333333326</v>
      </c>
      <c r="I255" s="49">
        <f>INDEX(PeakCalc!$L$10:$L$303,MATCH(tblPivotData[[#This Row],[Time]],PeakCalc!$G$10:$G$303,0))</f>
        <v>0</v>
      </c>
    </row>
    <row r="256" spans="1:9" x14ac:dyDescent="0.25">
      <c r="A256" t="s">
        <v>94</v>
      </c>
      <c r="B256" t="s">
        <v>100</v>
      </c>
      <c r="C256">
        <v>0</v>
      </c>
      <c r="D256" t="s">
        <v>79</v>
      </c>
      <c r="E256" t="s">
        <v>44</v>
      </c>
      <c r="F256" s="6">
        <v>0.6875</v>
      </c>
      <c r="G256">
        <v>0</v>
      </c>
      <c r="H256" s="6">
        <f>FLOOR(tblPivotData[[#This Row],[Time]],Summary!$B$6/1440)</f>
        <v>0.6875</v>
      </c>
      <c r="I256" s="49">
        <f>INDEX(PeakCalc!$L$10:$L$303,MATCH(tblPivotData[[#This Row],[Time]],PeakCalc!$G$10:$G$303,0))</f>
        <v>0</v>
      </c>
    </row>
    <row r="257" spans="1:9" x14ac:dyDescent="0.25">
      <c r="A257" t="s">
        <v>94</v>
      </c>
      <c r="B257" t="s">
        <v>100</v>
      </c>
      <c r="C257">
        <v>0</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94</v>
      </c>
      <c r="B258" t="s">
        <v>100</v>
      </c>
      <c r="C258">
        <v>0</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94</v>
      </c>
      <c r="B259" t="s">
        <v>100</v>
      </c>
      <c r="C259">
        <v>0</v>
      </c>
      <c r="D259" t="s">
        <v>79</v>
      </c>
      <c r="E259" t="s">
        <v>44</v>
      </c>
      <c r="F259" s="6">
        <v>0.71875</v>
      </c>
      <c r="G259">
        <v>0</v>
      </c>
      <c r="H259" s="6">
        <f>FLOOR(tblPivotData[[#This Row],[Time]],Summary!$B$6/1440)</f>
        <v>0.71875</v>
      </c>
      <c r="I259" s="49">
        <f>INDEX(PeakCalc!$L$10:$L$303,MATCH(tblPivotData[[#This Row],[Time]],PeakCalc!$G$10:$G$303,0))</f>
        <v>1</v>
      </c>
    </row>
    <row r="260" spans="1:9" x14ac:dyDescent="0.25">
      <c r="A260" t="s">
        <v>94</v>
      </c>
      <c r="B260" t="s">
        <v>100</v>
      </c>
      <c r="C260">
        <v>0</v>
      </c>
      <c r="D260" t="s">
        <v>79</v>
      </c>
      <c r="E260" t="s">
        <v>44</v>
      </c>
      <c r="F260" s="6">
        <v>0.72916666666666663</v>
      </c>
      <c r="G260">
        <v>0</v>
      </c>
      <c r="H260" s="6">
        <f>FLOOR(tblPivotData[[#This Row],[Time]],Summary!$B$6/1440)</f>
        <v>0.72916666666666663</v>
      </c>
      <c r="I260" s="49">
        <f>INDEX(PeakCalc!$L$10:$L$303,MATCH(tblPivotData[[#This Row],[Time]],PeakCalc!$G$10:$G$303,0))</f>
        <v>1</v>
      </c>
    </row>
    <row r="261" spans="1:9" x14ac:dyDescent="0.25">
      <c r="A261" t="s">
        <v>94</v>
      </c>
      <c r="B261" t="s">
        <v>100</v>
      </c>
      <c r="C261">
        <v>0</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94</v>
      </c>
      <c r="B262" t="s">
        <v>100</v>
      </c>
      <c r="C262">
        <v>0</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100</v>
      </c>
      <c r="C263">
        <v>0</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100</v>
      </c>
      <c r="C264">
        <v>0</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100</v>
      </c>
      <c r="C265">
        <v>0</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100</v>
      </c>
      <c r="C266">
        <v>0</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100</v>
      </c>
      <c r="C267">
        <v>0</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100</v>
      </c>
      <c r="C268">
        <v>0</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100</v>
      </c>
      <c r="C269">
        <v>0</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100</v>
      </c>
      <c r="C270">
        <v>0</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100</v>
      </c>
      <c r="C271">
        <v>0</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100</v>
      </c>
      <c r="C272">
        <v>0</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100</v>
      </c>
      <c r="C273">
        <v>0</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100</v>
      </c>
      <c r="C274">
        <v>0</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100</v>
      </c>
      <c r="C275">
        <v>0</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100</v>
      </c>
      <c r="C276">
        <v>0</v>
      </c>
      <c r="D276" t="s">
        <v>89</v>
      </c>
      <c r="E276" t="s">
        <v>44</v>
      </c>
      <c r="F276" s="6">
        <v>0.6875</v>
      </c>
      <c r="G276">
        <v>0</v>
      </c>
      <c r="H276" s="6">
        <f>FLOOR(tblPivotData[[#This Row],[Time]],Summary!$B$6/1440)</f>
        <v>0.6875</v>
      </c>
      <c r="I276" s="49">
        <f>INDEX(PeakCalc!$L$10:$L$303,MATCH(tblPivotData[[#This Row],[Time]],PeakCalc!$G$10:$G$303,0))</f>
        <v>0</v>
      </c>
    </row>
    <row r="277" spans="1:9" x14ac:dyDescent="0.25">
      <c r="A277" t="s">
        <v>94</v>
      </c>
      <c r="B277" t="s">
        <v>100</v>
      </c>
      <c r="C277">
        <v>0</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100</v>
      </c>
      <c r="C278">
        <v>0</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100</v>
      </c>
      <c r="C279">
        <v>0</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100</v>
      </c>
      <c r="C280">
        <v>0</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100</v>
      </c>
      <c r="C281">
        <v>0</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100</v>
      </c>
      <c r="C282">
        <v>0</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100</v>
      </c>
      <c r="C283">
        <v>0</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100</v>
      </c>
      <c r="C284">
        <v>0</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100</v>
      </c>
      <c r="C285">
        <v>0</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100</v>
      </c>
      <c r="C286">
        <v>0</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100</v>
      </c>
      <c r="C287">
        <v>0</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100</v>
      </c>
      <c r="C288">
        <v>0</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100</v>
      </c>
      <c r="C289">
        <v>0</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100</v>
      </c>
      <c r="C290">
        <v>0</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v>0</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v>0</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100</v>
      </c>
      <c r="C293">
        <v>0</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100</v>
      </c>
      <c r="C294">
        <v>0</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100</v>
      </c>
      <c r="C295">
        <v>0</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100</v>
      </c>
      <c r="C296">
        <v>0</v>
      </c>
      <c r="D296" t="s">
        <v>91</v>
      </c>
      <c r="E296" t="s">
        <v>44</v>
      </c>
      <c r="F296" s="6">
        <v>0.6875</v>
      </c>
      <c r="G296">
        <v>0</v>
      </c>
      <c r="H296" s="6">
        <f>FLOOR(tblPivotData[[#This Row],[Time]],Summary!$B$6/1440)</f>
        <v>0.6875</v>
      </c>
      <c r="I296" s="49">
        <f>INDEX(PeakCalc!$L$10:$L$303,MATCH(tblPivotData[[#This Row],[Time]],PeakCalc!$G$10:$G$303,0))</f>
        <v>0</v>
      </c>
    </row>
    <row r="297" spans="1:9" x14ac:dyDescent="0.25">
      <c r="A297" t="s">
        <v>94</v>
      </c>
      <c r="B297" t="s">
        <v>100</v>
      </c>
      <c r="C297">
        <v>0</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100</v>
      </c>
      <c r="C298">
        <v>0</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100</v>
      </c>
      <c r="C299">
        <v>0</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100</v>
      </c>
      <c r="C300">
        <v>0</v>
      </c>
      <c r="D300" t="s">
        <v>91</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94</v>
      </c>
      <c r="B301" t="s">
        <v>100</v>
      </c>
      <c r="C301">
        <v>0</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93</v>
      </c>
      <c r="D302" t="s">
        <v>79</v>
      </c>
      <c r="E302" t="s">
        <v>43</v>
      </c>
      <c r="F302" s="6">
        <v>0.29166666666666669</v>
      </c>
      <c r="G302">
        <v>15</v>
      </c>
      <c r="H302" s="6">
        <f>FLOOR(tblPivotData[[#This Row],[Time]],Summary!$B$6/1440)</f>
        <v>0.29166666666666663</v>
      </c>
      <c r="I302" s="49">
        <f>INDEX(PeakCalc!$L$10:$L$303,MATCH(tblPivotData[[#This Row],[Time]],PeakCalc!$G$10:$G$303,0))</f>
        <v>0</v>
      </c>
    </row>
    <row r="303" spans="1:9" x14ac:dyDescent="0.25">
      <c r="A303" t="s">
        <v>95</v>
      </c>
      <c r="B303" t="s">
        <v>101</v>
      </c>
      <c r="C303" t="s">
        <v>93</v>
      </c>
      <c r="D303" t="s">
        <v>79</v>
      </c>
      <c r="E303" t="s">
        <v>43</v>
      </c>
      <c r="F303" s="6">
        <v>0.30208333333333331</v>
      </c>
      <c r="G303">
        <v>19</v>
      </c>
      <c r="H303" s="6">
        <f>FLOOR(tblPivotData[[#This Row],[Time]],Summary!$B$6/1440)</f>
        <v>0.30208333333333331</v>
      </c>
      <c r="I303" s="49">
        <f>INDEX(PeakCalc!$L$10:$L$303,MATCH(tblPivotData[[#This Row],[Time]],PeakCalc!$G$10:$G$303,0))</f>
        <v>0</v>
      </c>
    </row>
    <row r="304" spans="1:9" x14ac:dyDescent="0.25">
      <c r="A304" t="s">
        <v>95</v>
      </c>
      <c r="B304" t="s">
        <v>101</v>
      </c>
      <c r="C304" t="s">
        <v>93</v>
      </c>
      <c r="D304" t="s">
        <v>79</v>
      </c>
      <c r="E304" t="s">
        <v>43</v>
      </c>
      <c r="F304" s="6">
        <v>0.3125</v>
      </c>
      <c r="G304">
        <v>30</v>
      </c>
      <c r="H304" s="6">
        <f>FLOOR(tblPivotData[[#This Row],[Time]],Summary!$B$6/1440)</f>
        <v>0.3125</v>
      </c>
      <c r="I304" s="49">
        <f>INDEX(PeakCalc!$L$10:$L$303,MATCH(tblPivotData[[#This Row],[Time]],PeakCalc!$G$10:$G$303,0))</f>
        <v>0</v>
      </c>
    </row>
    <row r="305" spans="1:9" x14ac:dyDescent="0.25">
      <c r="A305" t="s">
        <v>95</v>
      </c>
      <c r="B305" t="s">
        <v>101</v>
      </c>
      <c r="C305" t="s">
        <v>93</v>
      </c>
      <c r="D305" t="s">
        <v>79</v>
      </c>
      <c r="E305" t="s">
        <v>43</v>
      </c>
      <c r="F305" s="6">
        <v>0.32291666666666669</v>
      </c>
      <c r="G305">
        <v>31</v>
      </c>
      <c r="H305" s="6">
        <f>FLOOR(tblPivotData[[#This Row],[Time]],Summary!$B$6/1440)</f>
        <v>0.32291666666666663</v>
      </c>
      <c r="I305" s="49">
        <f>INDEX(PeakCalc!$L$10:$L$303,MATCH(tblPivotData[[#This Row],[Time]],PeakCalc!$G$10:$G$303,0))</f>
        <v>1</v>
      </c>
    </row>
    <row r="306" spans="1:9" x14ac:dyDescent="0.25">
      <c r="A306" t="s">
        <v>95</v>
      </c>
      <c r="B306" t="s">
        <v>101</v>
      </c>
      <c r="C306" t="s">
        <v>93</v>
      </c>
      <c r="D306" t="s">
        <v>79</v>
      </c>
      <c r="E306" t="s">
        <v>43</v>
      </c>
      <c r="F306" s="6">
        <v>0.33333333333333331</v>
      </c>
      <c r="G306">
        <v>42</v>
      </c>
      <c r="H306" s="6">
        <f>FLOOR(tblPivotData[[#This Row],[Time]],Summary!$B$6/1440)</f>
        <v>0.33333333333333331</v>
      </c>
      <c r="I306" s="49">
        <f>INDEX(PeakCalc!$L$10:$L$303,MATCH(tblPivotData[[#This Row],[Time]],PeakCalc!$G$10:$G$303,0))</f>
        <v>1</v>
      </c>
    </row>
    <row r="307" spans="1:9" x14ac:dyDescent="0.25">
      <c r="A307" t="s">
        <v>95</v>
      </c>
      <c r="B307" t="s">
        <v>101</v>
      </c>
      <c r="C307" t="s">
        <v>93</v>
      </c>
      <c r="D307" t="s">
        <v>79</v>
      </c>
      <c r="E307" t="s">
        <v>43</v>
      </c>
      <c r="F307" s="6">
        <v>0.34375</v>
      </c>
      <c r="G307">
        <v>41</v>
      </c>
      <c r="H307" s="6">
        <f>FLOOR(tblPivotData[[#This Row],[Time]],Summary!$B$6/1440)</f>
        <v>0.34375</v>
      </c>
      <c r="I307" s="49">
        <f>INDEX(PeakCalc!$L$10:$L$303,MATCH(tblPivotData[[#This Row],[Time]],PeakCalc!$G$10:$G$303,0))</f>
        <v>1</v>
      </c>
    </row>
    <row r="308" spans="1:9" x14ac:dyDescent="0.25">
      <c r="A308" t="s">
        <v>95</v>
      </c>
      <c r="B308" t="s">
        <v>101</v>
      </c>
      <c r="C308" t="s">
        <v>93</v>
      </c>
      <c r="D308" t="s">
        <v>79</v>
      </c>
      <c r="E308" t="s">
        <v>43</v>
      </c>
      <c r="F308" s="6">
        <v>0.35416666666666669</v>
      </c>
      <c r="G308">
        <v>48</v>
      </c>
      <c r="H308" s="6">
        <f>FLOOR(tblPivotData[[#This Row],[Time]],Summary!$B$6/1440)</f>
        <v>0.35416666666666663</v>
      </c>
      <c r="I308" s="49">
        <f>INDEX(PeakCalc!$L$10:$L$303,MATCH(tblPivotData[[#This Row],[Time]],PeakCalc!$G$10:$G$303,0))</f>
        <v>1</v>
      </c>
    </row>
    <row r="309" spans="1:9" x14ac:dyDescent="0.25">
      <c r="A309" t="s">
        <v>95</v>
      </c>
      <c r="B309" t="s">
        <v>101</v>
      </c>
      <c r="C309" t="s">
        <v>93</v>
      </c>
      <c r="D309" t="s">
        <v>79</v>
      </c>
      <c r="E309" t="s">
        <v>43</v>
      </c>
      <c r="F309" s="6">
        <v>0.36458333333333331</v>
      </c>
      <c r="G309">
        <v>35</v>
      </c>
      <c r="H309" s="6">
        <f>FLOOR(tblPivotData[[#This Row],[Time]],Summary!$B$6/1440)</f>
        <v>0.36458333333333331</v>
      </c>
      <c r="I309" s="49">
        <f>INDEX(PeakCalc!$L$10:$L$303,MATCH(tblPivotData[[#This Row],[Time]],PeakCalc!$G$10:$G$303,0))</f>
        <v>0</v>
      </c>
    </row>
    <row r="310" spans="1:9" x14ac:dyDescent="0.25">
      <c r="A310" t="s">
        <v>95</v>
      </c>
      <c r="B310" t="s">
        <v>101</v>
      </c>
      <c r="C310" t="s">
        <v>93</v>
      </c>
      <c r="D310" t="s">
        <v>79</v>
      </c>
      <c r="E310" t="s">
        <v>90</v>
      </c>
      <c r="F310" s="6">
        <v>0.54166666666666663</v>
      </c>
      <c r="G310">
        <v>14</v>
      </c>
      <c r="H310" s="6">
        <f>FLOOR(tblPivotData[[#This Row],[Time]],Summary!$B$6/1440)</f>
        <v>0.54166666666666663</v>
      </c>
      <c r="I310" s="49">
        <f>INDEX(PeakCalc!$L$10:$L$303,MATCH(tblPivotData[[#This Row],[Time]],PeakCalc!$G$10:$G$303,0))</f>
        <v>1</v>
      </c>
    </row>
    <row r="311" spans="1:9" x14ac:dyDescent="0.25">
      <c r="A311" t="s">
        <v>95</v>
      </c>
      <c r="B311" t="s">
        <v>101</v>
      </c>
      <c r="C311" t="s">
        <v>93</v>
      </c>
      <c r="D311" t="s">
        <v>79</v>
      </c>
      <c r="E311" t="s">
        <v>90</v>
      </c>
      <c r="F311" s="6">
        <v>0.55208333333333337</v>
      </c>
      <c r="G311">
        <v>11</v>
      </c>
      <c r="H311" s="6">
        <f>FLOOR(tblPivotData[[#This Row],[Time]],Summary!$B$6/1440)</f>
        <v>0.55208333333333326</v>
      </c>
      <c r="I311" s="49">
        <f>INDEX(PeakCalc!$L$10:$L$303,MATCH(tblPivotData[[#This Row],[Time]],PeakCalc!$G$10:$G$303,0))</f>
        <v>1</v>
      </c>
    </row>
    <row r="312" spans="1:9" x14ac:dyDescent="0.25">
      <c r="A312" t="s">
        <v>95</v>
      </c>
      <c r="B312" t="s">
        <v>101</v>
      </c>
      <c r="C312" t="s">
        <v>93</v>
      </c>
      <c r="D312" t="s">
        <v>79</v>
      </c>
      <c r="E312" t="s">
        <v>90</v>
      </c>
      <c r="F312" s="6">
        <v>0.5625</v>
      </c>
      <c r="G312">
        <v>18</v>
      </c>
      <c r="H312" s="6">
        <f>FLOOR(tblPivotData[[#This Row],[Time]],Summary!$B$6/1440)</f>
        <v>0.5625</v>
      </c>
      <c r="I312" s="49">
        <f>INDEX(PeakCalc!$L$10:$L$303,MATCH(tblPivotData[[#This Row],[Time]],PeakCalc!$G$10:$G$303,0))</f>
        <v>1</v>
      </c>
    </row>
    <row r="313" spans="1:9" x14ac:dyDescent="0.25">
      <c r="A313" t="s">
        <v>95</v>
      </c>
      <c r="B313" t="s">
        <v>101</v>
      </c>
      <c r="C313" t="s">
        <v>93</v>
      </c>
      <c r="D313" t="s">
        <v>79</v>
      </c>
      <c r="E313" t="s">
        <v>90</v>
      </c>
      <c r="F313" s="6">
        <v>0.57291666666666663</v>
      </c>
      <c r="G313">
        <v>22</v>
      </c>
      <c r="H313" s="6">
        <f>FLOOR(tblPivotData[[#This Row],[Time]],Summary!$B$6/1440)</f>
        <v>0.57291666666666663</v>
      </c>
      <c r="I313" s="49">
        <f>INDEX(PeakCalc!$L$10:$L$303,MATCH(tblPivotData[[#This Row],[Time]],PeakCalc!$G$10:$G$303,0))</f>
        <v>1</v>
      </c>
    </row>
    <row r="314" spans="1:9" x14ac:dyDescent="0.25">
      <c r="A314" t="s">
        <v>95</v>
      </c>
      <c r="B314" t="s">
        <v>101</v>
      </c>
      <c r="C314" t="s">
        <v>93</v>
      </c>
      <c r="D314" t="s">
        <v>79</v>
      </c>
      <c r="E314" t="s">
        <v>44</v>
      </c>
      <c r="F314" s="6">
        <v>0.66666666666666663</v>
      </c>
      <c r="G314">
        <v>36</v>
      </c>
      <c r="H314" s="6">
        <f>FLOOR(tblPivotData[[#This Row],[Time]],Summary!$B$6/1440)</f>
        <v>0.66666666666666663</v>
      </c>
      <c r="I314" s="49">
        <f>INDEX(PeakCalc!$L$10:$L$303,MATCH(tblPivotData[[#This Row],[Time]],PeakCalc!$G$10:$G$303,0))</f>
        <v>0</v>
      </c>
    </row>
    <row r="315" spans="1:9" x14ac:dyDescent="0.25">
      <c r="A315" t="s">
        <v>95</v>
      </c>
      <c r="B315" t="s">
        <v>101</v>
      </c>
      <c r="C315" t="s">
        <v>93</v>
      </c>
      <c r="D315" t="s">
        <v>79</v>
      </c>
      <c r="E315" t="s">
        <v>44</v>
      </c>
      <c r="F315" s="6">
        <v>0.67708333333333337</v>
      </c>
      <c r="G315">
        <v>37</v>
      </c>
      <c r="H315" s="6">
        <f>FLOOR(tblPivotData[[#This Row],[Time]],Summary!$B$6/1440)</f>
        <v>0.67708333333333326</v>
      </c>
      <c r="I315" s="49">
        <f>INDEX(PeakCalc!$L$10:$L$303,MATCH(tblPivotData[[#This Row],[Time]],PeakCalc!$G$10:$G$303,0))</f>
        <v>0</v>
      </c>
    </row>
    <row r="316" spans="1:9" x14ac:dyDescent="0.25">
      <c r="A316" t="s">
        <v>95</v>
      </c>
      <c r="B316" t="s">
        <v>101</v>
      </c>
      <c r="C316" t="s">
        <v>93</v>
      </c>
      <c r="D316" t="s">
        <v>79</v>
      </c>
      <c r="E316" t="s">
        <v>44</v>
      </c>
      <c r="F316" s="6">
        <v>0.6875</v>
      </c>
      <c r="G316">
        <v>37</v>
      </c>
      <c r="H316" s="6">
        <f>FLOOR(tblPivotData[[#This Row],[Time]],Summary!$B$6/1440)</f>
        <v>0.6875</v>
      </c>
      <c r="I316" s="49">
        <f>INDEX(PeakCalc!$L$10:$L$303,MATCH(tblPivotData[[#This Row],[Time]],PeakCalc!$G$10:$G$303,0))</f>
        <v>0</v>
      </c>
    </row>
    <row r="317" spans="1:9" x14ac:dyDescent="0.25">
      <c r="A317" t="s">
        <v>95</v>
      </c>
      <c r="B317" t="s">
        <v>101</v>
      </c>
      <c r="C317" t="s">
        <v>93</v>
      </c>
      <c r="D317" t="s">
        <v>79</v>
      </c>
      <c r="E317" t="s">
        <v>44</v>
      </c>
      <c r="F317" s="6">
        <v>0.69791666666666663</v>
      </c>
      <c r="G317">
        <v>64</v>
      </c>
      <c r="H317" s="6">
        <f>FLOOR(tblPivotData[[#This Row],[Time]],Summary!$B$6/1440)</f>
        <v>0.69791666666666663</v>
      </c>
      <c r="I317" s="49">
        <f>INDEX(PeakCalc!$L$10:$L$303,MATCH(tblPivotData[[#This Row],[Time]],PeakCalc!$G$10:$G$303,0))</f>
        <v>1</v>
      </c>
    </row>
    <row r="318" spans="1:9" x14ac:dyDescent="0.25">
      <c r="A318" t="s">
        <v>95</v>
      </c>
      <c r="B318" t="s">
        <v>101</v>
      </c>
      <c r="C318" t="s">
        <v>93</v>
      </c>
      <c r="D318" t="s">
        <v>79</v>
      </c>
      <c r="E318" t="s">
        <v>44</v>
      </c>
      <c r="F318" s="6">
        <v>0.70833333333333337</v>
      </c>
      <c r="G318">
        <v>63</v>
      </c>
      <c r="H318" s="6">
        <f>FLOOR(tblPivotData[[#This Row],[Time]],Summary!$B$6/1440)</f>
        <v>0.70833333333333326</v>
      </c>
      <c r="I318" s="49">
        <f>INDEX(PeakCalc!$L$10:$L$303,MATCH(tblPivotData[[#This Row],[Time]],PeakCalc!$G$10:$G$303,0))</f>
        <v>1</v>
      </c>
    </row>
    <row r="319" spans="1:9" x14ac:dyDescent="0.25">
      <c r="A319" t="s">
        <v>95</v>
      </c>
      <c r="B319" t="s">
        <v>101</v>
      </c>
      <c r="C319" t="s">
        <v>93</v>
      </c>
      <c r="D319" t="s">
        <v>79</v>
      </c>
      <c r="E319" t="s">
        <v>44</v>
      </c>
      <c r="F319" s="6">
        <v>0.71875</v>
      </c>
      <c r="G319">
        <v>39</v>
      </c>
      <c r="H319" s="6">
        <f>FLOOR(tblPivotData[[#This Row],[Time]],Summary!$B$6/1440)</f>
        <v>0.71875</v>
      </c>
      <c r="I319" s="49">
        <f>INDEX(PeakCalc!$L$10:$L$303,MATCH(tblPivotData[[#This Row],[Time]],PeakCalc!$G$10:$G$303,0))</f>
        <v>1</v>
      </c>
    </row>
    <row r="320" spans="1:9" x14ac:dyDescent="0.25">
      <c r="A320" t="s">
        <v>95</v>
      </c>
      <c r="B320" t="s">
        <v>101</v>
      </c>
      <c r="C320" t="s">
        <v>93</v>
      </c>
      <c r="D320" t="s">
        <v>79</v>
      </c>
      <c r="E320" t="s">
        <v>44</v>
      </c>
      <c r="F320" s="6">
        <v>0.72916666666666663</v>
      </c>
      <c r="G320">
        <v>59</v>
      </c>
      <c r="H320" s="6">
        <f>FLOOR(tblPivotData[[#This Row],[Time]],Summary!$B$6/1440)</f>
        <v>0.72916666666666663</v>
      </c>
      <c r="I320" s="49">
        <f>INDEX(PeakCalc!$L$10:$L$303,MATCH(tblPivotData[[#This Row],[Time]],PeakCalc!$G$10:$G$303,0))</f>
        <v>1</v>
      </c>
    </row>
    <row r="321" spans="1:9" x14ac:dyDescent="0.25">
      <c r="A321" t="s">
        <v>95</v>
      </c>
      <c r="B321" t="s">
        <v>101</v>
      </c>
      <c r="C321" t="s">
        <v>93</v>
      </c>
      <c r="D321" t="s">
        <v>79</v>
      </c>
      <c r="E321" t="s">
        <v>44</v>
      </c>
      <c r="F321" s="6">
        <v>0.73958333333333337</v>
      </c>
      <c r="G321">
        <v>26</v>
      </c>
      <c r="H321" s="6">
        <f>FLOOR(tblPivotData[[#This Row],[Time]],Summary!$B$6/1440)</f>
        <v>0.73958333333333326</v>
      </c>
      <c r="I321" s="49">
        <f>INDEX(PeakCalc!$L$10:$L$303,MATCH(tblPivotData[[#This Row],[Time]],PeakCalc!$G$10:$G$303,0))</f>
        <v>0</v>
      </c>
    </row>
    <row r="322" spans="1:9" x14ac:dyDescent="0.25">
      <c r="A322" t="s">
        <v>95</v>
      </c>
      <c r="B322" t="s">
        <v>101</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93</v>
      </c>
      <c r="D325" t="s">
        <v>89</v>
      </c>
      <c r="E325" t="s">
        <v>43</v>
      </c>
      <c r="F325" s="6">
        <v>0.32291666666666669</v>
      </c>
      <c r="G325">
        <v>2</v>
      </c>
      <c r="H325" s="6">
        <f>FLOOR(tblPivotData[[#This Row],[Time]],Summary!$B$6/1440)</f>
        <v>0.32291666666666663</v>
      </c>
      <c r="I325" s="49">
        <f>INDEX(PeakCalc!$L$10:$L$303,MATCH(tblPivotData[[#This Row],[Time]],PeakCalc!$G$10:$G$303,0))</f>
        <v>1</v>
      </c>
    </row>
    <row r="326" spans="1:9" x14ac:dyDescent="0.25">
      <c r="A326" t="s">
        <v>95</v>
      </c>
      <c r="B326" t="s">
        <v>101</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101</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93</v>
      </c>
      <c r="D332" t="s">
        <v>89</v>
      </c>
      <c r="E332" t="s">
        <v>90</v>
      </c>
      <c r="F332" s="6">
        <v>0.5625</v>
      </c>
      <c r="G332">
        <v>1</v>
      </c>
      <c r="H332" s="6">
        <f>FLOOR(tblPivotData[[#This Row],[Time]],Summary!$B$6/1440)</f>
        <v>0.5625</v>
      </c>
      <c r="I332" s="49">
        <f>INDEX(PeakCalc!$L$10:$L$303,MATCH(tblPivotData[[#This Row],[Time]],PeakCalc!$G$10:$G$303,0))</f>
        <v>1</v>
      </c>
    </row>
    <row r="333" spans="1:9" x14ac:dyDescent="0.25">
      <c r="A333" t="s">
        <v>95</v>
      </c>
      <c r="B333" t="s">
        <v>101</v>
      </c>
      <c r="C333" t="s">
        <v>93</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93</v>
      </c>
      <c r="D336" t="s">
        <v>89</v>
      </c>
      <c r="E336" t="s">
        <v>44</v>
      </c>
      <c r="F336" s="6">
        <v>0.6875</v>
      </c>
      <c r="G336">
        <v>0</v>
      </c>
      <c r="H336" s="6">
        <f>FLOOR(tblPivotData[[#This Row],[Time]],Summary!$B$6/1440)</f>
        <v>0.6875</v>
      </c>
      <c r="I336" s="49">
        <f>INDEX(PeakCalc!$L$10:$L$303,MATCH(tblPivotData[[#This Row],[Time]],PeakCalc!$G$10:$G$303,0))</f>
        <v>0</v>
      </c>
    </row>
    <row r="337" spans="1:9" x14ac:dyDescent="0.25">
      <c r="A337" t="s">
        <v>95</v>
      </c>
      <c r="B337" t="s">
        <v>101</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101</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93</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95</v>
      </c>
      <c r="B347" t="s">
        <v>101</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93</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95</v>
      </c>
      <c r="B356" t="s">
        <v>101</v>
      </c>
      <c r="C356" t="s">
        <v>93</v>
      </c>
      <c r="D356" t="s">
        <v>91</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101</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93</v>
      </c>
      <c r="D358" t="s">
        <v>91</v>
      </c>
      <c r="E358" t="s">
        <v>44</v>
      </c>
      <c r="F358" s="6">
        <v>0.70833333333333337</v>
      </c>
      <c r="G358">
        <v>3</v>
      </c>
      <c r="H358" s="6">
        <f>FLOOR(tblPivotData[[#This Row],[Time]],Summary!$B$6/1440)</f>
        <v>0.70833333333333326</v>
      </c>
      <c r="I358" s="49">
        <f>INDEX(PeakCalc!$L$10:$L$303,MATCH(tblPivotData[[#This Row],[Time]],PeakCalc!$G$10:$G$303,0))</f>
        <v>1</v>
      </c>
    </row>
    <row r="359" spans="1:9" x14ac:dyDescent="0.25">
      <c r="A359" t="s">
        <v>95</v>
      </c>
      <c r="B359" t="s">
        <v>101</v>
      </c>
      <c r="C359" t="s">
        <v>93</v>
      </c>
      <c r="D359" t="s">
        <v>91</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101</v>
      </c>
      <c r="C360" t="s">
        <v>93</v>
      </c>
      <c r="D360" t="s">
        <v>91</v>
      </c>
      <c r="E360" t="s">
        <v>44</v>
      </c>
      <c r="F360" s="6">
        <v>0.72916666666666663</v>
      </c>
      <c r="G360">
        <v>1</v>
      </c>
      <c r="H360" s="6">
        <f>FLOOR(tblPivotData[[#This Row],[Time]],Summary!$B$6/1440)</f>
        <v>0.72916666666666663</v>
      </c>
      <c r="I360" s="49">
        <f>INDEX(PeakCalc!$L$10:$L$303,MATCH(tblPivotData[[#This Row],[Time]],PeakCalc!$G$10:$G$303,0))</f>
        <v>1</v>
      </c>
    </row>
    <row r="361" spans="1:9" x14ac:dyDescent="0.25">
      <c r="A361" t="s">
        <v>95</v>
      </c>
      <c r="B361" t="s">
        <v>101</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102</v>
      </c>
      <c r="C362" t="s">
        <v>94</v>
      </c>
      <c r="D362" t="s">
        <v>79</v>
      </c>
      <c r="E362" t="s">
        <v>43</v>
      </c>
      <c r="F362" s="6">
        <v>0.29166666666666669</v>
      </c>
      <c r="G362">
        <v>21</v>
      </c>
      <c r="H362" s="6">
        <f>FLOOR(tblPivotData[[#This Row],[Time]],Summary!$B$6/1440)</f>
        <v>0.29166666666666663</v>
      </c>
      <c r="I362" s="49">
        <f>INDEX(PeakCalc!$L$10:$L$303,MATCH(tblPivotData[[#This Row],[Time]],PeakCalc!$G$10:$G$303,0))</f>
        <v>0</v>
      </c>
    </row>
    <row r="363" spans="1:9" x14ac:dyDescent="0.25">
      <c r="A363" t="s">
        <v>95</v>
      </c>
      <c r="B363" t="s">
        <v>102</v>
      </c>
      <c r="C363" t="s">
        <v>94</v>
      </c>
      <c r="D363" t="s">
        <v>79</v>
      </c>
      <c r="E363" t="s">
        <v>43</v>
      </c>
      <c r="F363" s="6">
        <v>0.30208333333333331</v>
      </c>
      <c r="G363">
        <v>21</v>
      </c>
      <c r="H363" s="6">
        <f>FLOOR(tblPivotData[[#This Row],[Time]],Summary!$B$6/1440)</f>
        <v>0.30208333333333331</v>
      </c>
      <c r="I363" s="49">
        <f>INDEX(PeakCalc!$L$10:$L$303,MATCH(tblPivotData[[#This Row],[Time]],PeakCalc!$G$10:$G$303,0))</f>
        <v>0</v>
      </c>
    </row>
    <row r="364" spans="1:9" x14ac:dyDescent="0.25">
      <c r="A364" t="s">
        <v>95</v>
      </c>
      <c r="B364" t="s">
        <v>102</v>
      </c>
      <c r="C364" t="s">
        <v>94</v>
      </c>
      <c r="D364" t="s">
        <v>79</v>
      </c>
      <c r="E364" t="s">
        <v>43</v>
      </c>
      <c r="F364" s="6">
        <v>0.3125</v>
      </c>
      <c r="G364">
        <v>32</v>
      </c>
      <c r="H364" s="6">
        <f>FLOOR(tblPivotData[[#This Row],[Time]],Summary!$B$6/1440)</f>
        <v>0.3125</v>
      </c>
      <c r="I364" s="49">
        <f>INDEX(PeakCalc!$L$10:$L$303,MATCH(tblPivotData[[#This Row],[Time]],PeakCalc!$G$10:$G$303,0))</f>
        <v>0</v>
      </c>
    </row>
    <row r="365" spans="1:9" x14ac:dyDescent="0.25">
      <c r="A365" t="s">
        <v>95</v>
      </c>
      <c r="B365" t="s">
        <v>102</v>
      </c>
      <c r="C365" t="s">
        <v>94</v>
      </c>
      <c r="D365" t="s">
        <v>79</v>
      </c>
      <c r="E365" t="s">
        <v>43</v>
      </c>
      <c r="F365" s="6">
        <v>0.32291666666666669</v>
      </c>
      <c r="G365">
        <v>31</v>
      </c>
      <c r="H365" s="6">
        <f>FLOOR(tblPivotData[[#This Row],[Time]],Summary!$B$6/1440)</f>
        <v>0.32291666666666663</v>
      </c>
      <c r="I365" s="49">
        <f>INDEX(PeakCalc!$L$10:$L$303,MATCH(tblPivotData[[#This Row],[Time]],PeakCalc!$G$10:$G$303,0))</f>
        <v>1</v>
      </c>
    </row>
    <row r="366" spans="1:9" x14ac:dyDescent="0.25">
      <c r="A366" t="s">
        <v>95</v>
      </c>
      <c r="B366" t="s">
        <v>102</v>
      </c>
      <c r="C366" t="s">
        <v>94</v>
      </c>
      <c r="D366" t="s">
        <v>79</v>
      </c>
      <c r="E366" t="s">
        <v>43</v>
      </c>
      <c r="F366" s="6">
        <v>0.33333333333333331</v>
      </c>
      <c r="G366">
        <v>35</v>
      </c>
      <c r="H366" s="6">
        <f>FLOOR(tblPivotData[[#This Row],[Time]],Summary!$B$6/1440)</f>
        <v>0.33333333333333331</v>
      </c>
      <c r="I366" s="49">
        <f>INDEX(PeakCalc!$L$10:$L$303,MATCH(tblPivotData[[#This Row],[Time]],PeakCalc!$G$10:$G$303,0))</f>
        <v>1</v>
      </c>
    </row>
    <row r="367" spans="1:9" x14ac:dyDescent="0.25">
      <c r="A367" t="s">
        <v>95</v>
      </c>
      <c r="B367" t="s">
        <v>102</v>
      </c>
      <c r="C367" t="s">
        <v>94</v>
      </c>
      <c r="D367" t="s">
        <v>79</v>
      </c>
      <c r="E367" t="s">
        <v>43</v>
      </c>
      <c r="F367" s="6">
        <v>0.34375</v>
      </c>
      <c r="G367">
        <v>26</v>
      </c>
      <c r="H367" s="6">
        <f>FLOOR(tblPivotData[[#This Row],[Time]],Summary!$B$6/1440)</f>
        <v>0.34375</v>
      </c>
      <c r="I367" s="49">
        <f>INDEX(PeakCalc!$L$10:$L$303,MATCH(tblPivotData[[#This Row],[Time]],PeakCalc!$G$10:$G$303,0))</f>
        <v>1</v>
      </c>
    </row>
    <row r="368" spans="1:9" x14ac:dyDescent="0.25">
      <c r="A368" t="s">
        <v>95</v>
      </c>
      <c r="B368" t="s">
        <v>102</v>
      </c>
      <c r="C368" t="s">
        <v>94</v>
      </c>
      <c r="D368" t="s">
        <v>79</v>
      </c>
      <c r="E368" t="s">
        <v>43</v>
      </c>
      <c r="F368" s="6">
        <v>0.35416666666666669</v>
      </c>
      <c r="G368">
        <v>32</v>
      </c>
      <c r="H368" s="6">
        <f>FLOOR(tblPivotData[[#This Row],[Time]],Summary!$B$6/1440)</f>
        <v>0.35416666666666663</v>
      </c>
      <c r="I368" s="49">
        <f>INDEX(PeakCalc!$L$10:$L$303,MATCH(tblPivotData[[#This Row],[Time]],PeakCalc!$G$10:$G$303,0))</f>
        <v>1</v>
      </c>
    </row>
    <row r="369" spans="1:9" x14ac:dyDescent="0.25">
      <c r="A369" t="s">
        <v>95</v>
      </c>
      <c r="B369" t="s">
        <v>102</v>
      </c>
      <c r="C369" t="s">
        <v>94</v>
      </c>
      <c r="D369" t="s">
        <v>79</v>
      </c>
      <c r="E369" t="s">
        <v>43</v>
      </c>
      <c r="F369" s="6">
        <v>0.36458333333333331</v>
      </c>
      <c r="G369">
        <v>39</v>
      </c>
      <c r="H369" s="6">
        <f>FLOOR(tblPivotData[[#This Row],[Time]],Summary!$B$6/1440)</f>
        <v>0.36458333333333331</v>
      </c>
      <c r="I369" s="49">
        <f>INDEX(PeakCalc!$L$10:$L$303,MATCH(tblPivotData[[#This Row],[Time]],PeakCalc!$G$10:$G$303,0))</f>
        <v>0</v>
      </c>
    </row>
    <row r="370" spans="1:9" x14ac:dyDescent="0.25">
      <c r="A370" t="s">
        <v>95</v>
      </c>
      <c r="B370" t="s">
        <v>102</v>
      </c>
      <c r="C370" t="s">
        <v>94</v>
      </c>
      <c r="D370" t="s">
        <v>79</v>
      </c>
      <c r="E370" t="s">
        <v>90</v>
      </c>
      <c r="F370" s="6">
        <v>0.54166666666666663</v>
      </c>
      <c r="G370">
        <v>36</v>
      </c>
      <c r="H370" s="6">
        <f>FLOOR(tblPivotData[[#This Row],[Time]],Summary!$B$6/1440)</f>
        <v>0.54166666666666663</v>
      </c>
      <c r="I370" s="49">
        <f>INDEX(PeakCalc!$L$10:$L$303,MATCH(tblPivotData[[#This Row],[Time]],PeakCalc!$G$10:$G$303,0))</f>
        <v>1</v>
      </c>
    </row>
    <row r="371" spans="1:9" x14ac:dyDescent="0.25">
      <c r="A371" t="s">
        <v>95</v>
      </c>
      <c r="B371" t="s">
        <v>102</v>
      </c>
      <c r="C371" t="s">
        <v>94</v>
      </c>
      <c r="D371" t="s">
        <v>79</v>
      </c>
      <c r="E371" t="s">
        <v>90</v>
      </c>
      <c r="F371" s="6">
        <v>0.55208333333333337</v>
      </c>
      <c r="G371">
        <v>28</v>
      </c>
      <c r="H371" s="6">
        <f>FLOOR(tblPivotData[[#This Row],[Time]],Summary!$B$6/1440)</f>
        <v>0.55208333333333326</v>
      </c>
      <c r="I371" s="49">
        <f>INDEX(PeakCalc!$L$10:$L$303,MATCH(tblPivotData[[#This Row],[Time]],PeakCalc!$G$10:$G$303,0))</f>
        <v>1</v>
      </c>
    </row>
    <row r="372" spans="1:9" x14ac:dyDescent="0.25">
      <c r="A372" t="s">
        <v>95</v>
      </c>
      <c r="B372" t="s">
        <v>102</v>
      </c>
      <c r="C372" t="s">
        <v>94</v>
      </c>
      <c r="D372" t="s">
        <v>79</v>
      </c>
      <c r="E372" t="s">
        <v>90</v>
      </c>
      <c r="F372" s="6">
        <v>0.5625</v>
      </c>
      <c r="G372">
        <v>27</v>
      </c>
      <c r="H372" s="6">
        <f>FLOOR(tblPivotData[[#This Row],[Time]],Summary!$B$6/1440)</f>
        <v>0.5625</v>
      </c>
      <c r="I372" s="49">
        <f>INDEX(PeakCalc!$L$10:$L$303,MATCH(tblPivotData[[#This Row],[Time]],PeakCalc!$G$10:$G$303,0))</f>
        <v>1</v>
      </c>
    </row>
    <row r="373" spans="1:9" x14ac:dyDescent="0.25">
      <c r="A373" t="s">
        <v>95</v>
      </c>
      <c r="B373" t="s">
        <v>102</v>
      </c>
      <c r="C373" t="s">
        <v>94</v>
      </c>
      <c r="D373" t="s">
        <v>79</v>
      </c>
      <c r="E373" t="s">
        <v>90</v>
      </c>
      <c r="F373" s="6">
        <v>0.57291666666666663</v>
      </c>
      <c r="G373">
        <v>29</v>
      </c>
      <c r="H373" s="6">
        <f>FLOOR(tblPivotData[[#This Row],[Time]],Summary!$B$6/1440)</f>
        <v>0.57291666666666663</v>
      </c>
      <c r="I373" s="49">
        <f>INDEX(PeakCalc!$L$10:$L$303,MATCH(tblPivotData[[#This Row],[Time]],PeakCalc!$G$10:$G$303,0))</f>
        <v>1</v>
      </c>
    </row>
    <row r="374" spans="1:9" x14ac:dyDescent="0.25">
      <c r="A374" t="s">
        <v>95</v>
      </c>
      <c r="B374" t="s">
        <v>102</v>
      </c>
      <c r="C374" t="s">
        <v>94</v>
      </c>
      <c r="D374" t="s">
        <v>79</v>
      </c>
      <c r="E374" t="s">
        <v>44</v>
      </c>
      <c r="F374" s="6">
        <v>0.66666666666666663</v>
      </c>
      <c r="G374">
        <v>56</v>
      </c>
      <c r="H374" s="6">
        <f>FLOOR(tblPivotData[[#This Row],[Time]],Summary!$B$6/1440)</f>
        <v>0.66666666666666663</v>
      </c>
      <c r="I374" s="49">
        <f>INDEX(PeakCalc!$L$10:$L$303,MATCH(tblPivotData[[#This Row],[Time]],PeakCalc!$G$10:$G$303,0))</f>
        <v>0</v>
      </c>
    </row>
    <row r="375" spans="1:9" x14ac:dyDescent="0.25">
      <c r="A375" t="s">
        <v>95</v>
      </c>
      <c r="B375" t="s">
        <v>102</v>
      </c>
      <c r="C375" t="s">
        <v>94</v>
      </c>
      <c r="D375" t="s">
        <v>79</v>
      </c>
      <c r="E375" t="s">
        <v>44</v>
      </c>
      <c r="F375" s="6">
        <v>0.67708333333333337</v>
      </c>
      <c r="G375">
        <v>54</v>
      </c>
      <c r="H375" s="6">
        <f>FLOOR(tblPivotData[[#This Row],[Time]],Summary!$B$6/1440)</f>
        <v>0.67708333333333326</v>
      </c>
      <c r="I375" s="49">
        <f>INDEX(PeakCalc!$L$10:$L$303,MATCH(tblPivotData[[#This Row],[Time]],PeakCalc!$G$10:$G$303,0))</f>
        <v>0</v>
      </c>
    </row>
    <row r="376" spans="1:9" x14ac:dyDescent="0.25">
      <c r="A376" t="s">
        <v>95</v>
      </c>
      <c r="B376" t="s">
        <v>102</v>
      </c>
      <c r="C376" t="s">
        <v>94</v>
      </c>
      <c r="D376" t="s">
        <v>79</v>
      </c>
      <c r="E376" t="s">
        <v>44</v>
      </c>
      <c r="F376" s="6">
        <v>0.6875</v>
      </c>
      <c r="G376">
        <v>67</v>
      </c>
      <c r="H376" s="6">
        <f>FLOOR(tblPivotData[[#This Row],[Time]],Summary!$B$6/1440)</f>
        <v>0.6875</v>
      </c>
      <c r="I376" s="49">
        <f>INDEX(PeakCalc!$L$10:$L$303,MATCH(tblPivotData[[#This Row],[Time]],PeakCalc!$G$10:$G$303,0))</f>
        <v>0</v>
      </c>
    </row>
    <row r="377" spans="1:9" x14ac:dyDescent="0.25">
      <c r="A377" t="s">
        <v>95</v>
      </c>
      <c r="B377" t="s">
        <v>102</v>
      </c>
      <c r="C377" t="s">
        <v>94</v>
      </c>
      <c r="D377" t="s">
        <v>79</v>
      </c>
      <c r="E377" t="s">
        <v>44</v>
      </c>
      <c r="F377" s="6">
        <v>0.69791666666666663</v>
      </c>
      <c r="G377">
        <v>83</v>
      </c>
      <c r="H377" s="6">
        <f>FLOOR(tblPivotData[[#This Row],[Time]],Summary!$B$6/1440)</f>
        <v>0.69791666666666663</v>
      </c>
      <c r="I377" s="49">
        <f>INDEX(PeakCalc!$L$10:$L$303,MATCH(tblPivotData[[#This Row],[Time]],PeakCalc!$G$10:$G$303,0))</f>
        <v>1</v>
      </c>
    </row>
    <row r="378" spans="1:9" x14ac:dyDescent="0.25">
      <c r="A378" t="s">
        <v>95</v>
      </c>
      <c r="B378" t="s">
        <v>102</v>
      </c>
      <c r="C378" t="s">
        <v>94</v>
      </c>
      <c r="D378" t="s">
        <v>79</v>
      </c>
      <c r="E378" t="s">
        <v>44</v>
      </c>
      <c r="F378" s="6">
        <v>0.70833333333333337</v>
      </c>
      <c r="G378">
        <v>54</v>
      </c>
      <c r="H378" s="6">
        <f>FLOOR(tblPivotData[[#This Row],[Time]],Summary!$B$6/1440)</f>
        <v>0.70833333333333326</v>
      </c>
      <c r="I378" s="49">
        <f>INDEX(PeakCalc!$L$10:$L$303,MATCH(tblPivotData[[#This Row],[Time]],PeakCalc!$G$10:$G$303,0))</f>
        <v>1</v>
      </c>
    </row>
    <row r="379" spans="1:9" x14ac:dyDescent="0.25">
      <c r="A379" t="s">
        <v>95</v>
      </c>
      <c r="B379" t="s">
        <v>102</v>
      </c>
      <c r="C379" t="s">
        <v>94</v>
      </c>
      <c r="D379" t="s">
        <v>79</v>
      </c>
      <c r="E379" t="s">
        <v>44</v>
      </c>
      <c r="F379" s="6">
        <v>0.71875</v>
      </c>
      <c r="G379">
        <v>64</v>
      </c>
      <c r="H379" s="6">
        <f>FLOOR(tblPivotData[[#This Row],[Time]],Summary!$B$6/1440)</f>
        <v>0.71875</v>
      </c>
      <c r="I379" s="49">
        <f>INDEX(PeakCalc!$L$10:$L$303,MATCH(tblPivotData[[#This Row],[Time]],PeakCalc!$G$10:$G$303,0))</f>
        <v>1</v>
      </c>
    </row>
    <row r="380" spans="1:9" x14ac:dyDescent="0.25">
      <c r="A380" t="s">
        <v>95</v>
      </c>
      <c r="B380" t="s">
        <v>102</v>
      </c>
      <c r="C380" t="s">
        <v>94</v>
      </c>
      <c r="D380" t="s">
        <v>79</v>
      </c>
      <c r="E380" t="s">
        <v>44</v>
      </c>
      <c r="F380" s="6">
        <v>0.72916666666666663</v>
      </c>
      <c r="G380">
        <v>85</v>
      </c>
      <c r="H380" s="6">
        <f>FLOOR(tblPivotData[[#This Row],[Time]],Summary!$B$6/1440)</f>
        <v>0.72916666666666663</v>
      </c>
      <c r="I380" s="49">
        <f>INDEX(PeakCalc!$L$10:$L$303,MATCH(tblPivotData[[#This Row],[Time]],PeakCalc!$G$10:$G$303,0))</f>
        <v>1</v>
      </c>
    </row>
    <row r="381" spans="1:9" x14ac:dyDescent="0.25">
      <c r="A381" t="s">
        <v>95</v>
      </c>
      <c r="B381" t="s">
        <v>102</v>
      </c>
      <c r="C381" t="s">
        <v>94</v>
      </c>
      <c r="D381" t="s">
        <v>79</v>
      </c>
      <c r="E381" t="s">
        <v>44</v>
      </c>
      <c r="F381" s="6">
        <v>0.73958333333333337</v>
      </c>
      <c r="G381">
        <v>62</v>
      </c>
      <c r="H381" s="6">
        <f>FLOOR(tblPivotData[[#This Row],[Time]],Summary!$B$6/1440)</f>
        <v>0.73958333333333326</v>
      </c>
      <c r="I381" s="49">
        <f>INDEX(PeakCalc!$L$10:$L$303,MATCH(tblPivotData[[#This Row],[Time]],PeakCalc!$G$10:$G$303,0))</f>
        <v>0</v>
      </c>
    </row>
    <row r="382" spans="1:9" x14ac:dyDescent="0.25">
      <c r="A382" t="s">
        <v>95</v>
      </c>
      <c r="B382" t="s">
        <v>102</v>
      </c>
      <c r="C382" t="s">
        <v>94</v>
      </c>
      <c r="D382" t="s">
        <v>89</v>
      </c>
      <c r="E382" t="s">
        <v>43</v>
      </c>
      <c r="F382" s="6">
        <v>0.29166666666666669</v>
      </c>
      <c r="G382">
        <v>3</v>
      </c>
      <c r="H382" s="6">
        <f>FLOOR(tblPivotData[[#This Row],[Time]],Summary!$B$6/1440)</f>
        <v>0.29166666666666663</v>
      </c>
      <c r="I382" s="49">
        <f>INDEX(PeakCalc!$L$10:$L$303,MATCH(tblPivotData[[#This Row],[Time]],PeakCalc!$G$10:$G$303,0))</f>
        <v>0</v>
      </c>
    </row>
    <row r="383" spans="1:9" x14ac:dyDescent="0.25">
      <c r="A383" t="s">
        <v>95</v>
      </c>
      <c r="B383" t="s">
        <v>102</v>
      </c>
      <c r="C383" t="s">
        <v>94</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95</v>
      </c>
      <c r="B384" t="s">
        <v>102</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102</v>
      </c>
      <c r="C385" t="s">
        <v>94</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102</v>
      </c>
      <c r="C386" t="s">
        <v>94</v>
      </c>
      <c r="D386" t="s">
        <v>89</v>
      </c>
      <c r="E386" t="s">
        <v>43</v>
      </c>
      <c r="F386" s="6">
        <v>0.33333333333333331</v>
      </c>
      <c r="G386">
        <v>2</v>
      </c>
      <c r="H386" s="6">
        <f>FLOOR(tblPivotData[[#This Row],[Time]],Summary!$B$6/1440)</f>
        <v>0.33333333333333331</v>
      </c>
      <c r="I386" s="49">
        <f>INDEX(PeakCalc!$L$10:$L$303,MATCH(tblPivotData[[#This Row],[Time]],PeakCalc!$G$10:$G$303,0))</f>
        <v>1</v>
      </c>
    </row>
    <row r="387" spans="1:9" x14ac:dyDescent="0.25">
      <c r="A387" t="s">
        <v>95</v>
      </c>
      <c r="B387" t="s">
        <v>102</v>
      </c>
      <c r="C387" t="s">
        <v>94</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102</v>
      </c>
      <c r="C388" t="s">
        <v>94</v>
      </c>
      <c r="D388" t="s">
        <v>89</v>
      </c>
      <c r="E388" t="s">
        <v>43</v>
      </c>
      <c r="F388" s="6">
        <v>0.35416666666666669</v>
      </c>
      <c r="G388">
        <v>4</v>
      </c>
      <c r="H388" s="6">
        <f>FLOOR(tblPivotData[[#This Row],[Time]],Summary!$B$6/1440)</f>
        <v>0.35416666666666663</v>
      </c>
      <c r="I388" s="49">
        <f>INDEX(PeakCalc!$L$10:$L$303,MATCH(tblPivotData[[#This Row],[Time]],PeakCalc!$G$10:$G$303,0))</f>
        <v>1</v>
      </c>
    </row>
    <row r="389" spans="1:9" x14ac:dyDescent="0.25">
      <c r="A389" t="s">
        <v>95</v>
      </c>
      <c r="B389" t="s">
        <v>102</v>
      </c>
      <c r="C389" t="s">
        <v>94</v>
      </c>
      <c r="D389" t="s">
        <v>89</v>
      </c>
      <c r="E389" t="s">
        <v>43</v>
      </c>
      <c r="F389" s="6">
        <v>0.36458333333333331</v>
      </c>
      <c r="G389">
        <v>3</v>
      </c>
      <c r="H389" s="6">
        <f>FLOOR(tblPivotData[[#This Row],[Time]],Summary!$B$6/1440)</f>
        <v>0.36458333333333331</v>
      </c>
      <c r="I389" s="49">
        <f>INDEX(PeakCalc!$L$10:$L$303,MATCH(tblPivotData[[#This Row],[Time]],PeakCalc!$G$10:$G$303,0))</f>
        <v>0</v>
      </c>
    </row>
    <row r="390" spans="1:9" x14ac:dyDescent="0.25">
      <c r="A390" t="s">
        <v>95</v>
      </c>
      <c r="B390" t="s">
        <v>102</v>
      </c>
      <c r="C390" t="s">
        <v>94</v>
      </c>
      <c r="D390" t="s">
        <v>89</v>
      </c>
      <c r="E390" t="s">
        <v>90</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102</v>
      </c>
      <c r="C391" t="s">
        <v>94</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102</v>
      </c>
      <c r="C392" t="s">
        <v>94</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102</v>
      </c>
      <c r="C393" t="s">
        <v>94</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102</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102</v>
      </c>
      <c r="C395" t="s">
        <v>94</v>
      </c>
      <c r="D395" t="s">
        <v>89</v>
      </c>
      <c r="E395" t="s">
        <v>44</v>
      </c>
      <c r="F395" s="6">
        <v>0.67708333333333337</v>
      </c>
      <c r="G395">
        <v>3</v>
      </c>
      <c r="H395" s="6">
        <f>FLOOR(tblPivotData[[#This Row],[Time]],Summary!$B$6/1440)</f>
        <v>0.67708333333333326</v>
      </c>
      <c r="I395" s="49">
        <f>INDEX(PeakCalc!$L$10:$L$303,MATCH(tblPivotData[[#This Row],[Time]],PeakCalc!$G$10:$G$303,0))</f>
        <v>0</v>
      </c>
    </row>
    <row r="396" spans="1:9" x14ac:dyDescent="0.25">
      <c r="A396" t="s">
        <v>95</v>
      </c>
      <c r="B396" t="s">
        <v>102</v>
      </c>
      <c r="C396" t="s">
        <v>94</v>
      </c>
      <c r="D396" t="s">
        <v>89</v>
      </c>
      <c r="E396" t="s">
        <v>44</v>
      </c>
      <c r="F396" s="6">
        <v>0.6875</v>
      </c>
      <c r="G396">
        <v>1</v>
      </c>
      <c r="H396" s="6">
        <f>FLOOR(tblPivotData[[#This Row],[Time]],Summary!$B$6/1440)</f>
        <v>0.6875</v>
      </c>
      <c r="I396" s="49">
        <f>INDEX(PeakCalc!$L$10:$L$303,MATCH(tblPivotData[[#This Row],[Time]],PeakCalc!$G$10:$G$303,0))</f>
        <v>0</v>
      </c>
    </row>
    <row r="397" spans="1:9" x14ac:dyDescent="0.25">
      <c r="A397" t="s">
        <v>95</v>
      </c>
      <c r="B397" t="s">
        <v>102</v>
      </c>
      <c r="C397" t="s">
        <v>94</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95</v>
      </c>
      <c r="B398" t="s">
        <v>102</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102</v>
      </c>
      <c r="C399" t="s">
        <v>94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102</v>
      </c>
      <c r="C400" t="s">
        <v>94</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102</v>
      </c>
      <c r="C401" t="s">
        <v>94</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95</v>
      </c>
      <c r="B402" t="s">
        <v>102</v>
      </c>
      <c r="C402" t="s">
        <v>94</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102</v>
      </c>
      <c r="C403" t="s">
        <v>94</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102</v>
      </c>
      <c r="C404" t="s">
        <v>94</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102</v>
      </c>
      <c r="C405" t="s">
        <v>94</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102</v>
      </c>
      <c r="C406" t="s">
        <v>94</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102</v>
      </c>
      <c r="C407" t="s">
        <v>94</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102</v>
      </c>
      <c r="C408" t="s">
        <v>94</v>
      </c>
      <c r="D408" t="s">
        <v>91</v>
      </c>
      <c r="E408" t="s">
        <v>43</v>
      </c>
      <c r="F408" s="6">
        <v>0.35416666666666669</v>
      </c>
      <c r="G408">
        <v>1</v>
      </c>
      <c r="H408" s="6">
        <f>FLOOR(tblPivotData[[#This Row],[Time]],Summary!$B$6/1440)</f>
        <v>0.35416666666666663</v>
      </c>
      <c r="I408" s="49">
        <f>INDEX(PeakCalc!$L$10:$L$303,MATCH(tblPivotData[[#This Row],[Time]],PeakCalc!$G$10:$G$303,0))</f>
        <v>1</v>
      </c>
    </row>
    <row r="409" spans="1:9" x14ac:dyDescent="0.25">
      <c r="A409" t="s">
        <v>95</v>
      </c>
      <c r="B409" t="s">
        <v>102</v>
      </c>
      <c r="C409" t="s">
        <v>94</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102</v>
      </c>
      <c r="C410" t="s">
        <v>94</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102</v>
      </c>
      <c r="C411" t="s">
        <v>94</v>
      </c>
      <c r="D411" t="s">
        <v>91</v>
      </c>
      <c r="E411" t="s">
        <v>90</v>
      </c>
      <c r="F411" s="6">
        <v>0.55208333333333337</v>
      </c>
      <c r="G411">
        <v>1</v>
      </c>
      <c r="H411" s="6">
        <f>FLOOR(tblPivotData[[#This Row],[Time]],Summary!$B$6/1440)</f>
        <v>0.55208333333333326</v>
      </c>
      <c r="I411" s="49">
        <f>INDEX(PeakCalc!$L$10:$L$303,MATCH(tblPivotData[[#This Row],[Time]],PeakCalc!$G$10:$G$303,0))</f>
        <v>1</v>
      </c>
    </row>
    <row r="412" spans="1:9" x14ac:dyDescent="0.25">
      <c r="A412" t="s">
        <v>95</v>
      </c>
      <c r="B412" t="s">
        <v>102</v>
      </c>
      <c r="C412" t="s">
        <v>94</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102</v>
      </c>
      <c r="C413" t="s">
        <v>94</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102</v>
      </c>
      <c r="C414" t="s">
        <v>94</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102</v>
      </c>
      <c r="C415" t="s">
        <v>94</v>
      </c>
      <c r="D415" t="s">
        <v>91</v>
      </c>
      <c r="E415" t="s">
        <v>44</v>
      </c>
      <c r="F415" s="6">
        <v>0.67708333333333337</v>
      </c>
      <c r="G415">
        <v>1</v>
      </c>
      <c r="H415" s="6">
        <f>FLOOR(tblPivotData[[#This Row],[Time]],Summary!$B$6/1440)</f>
        <v>0.67708333333333326</v>
      </c>
      <c r="I415" s="49">
        <f>INDEX(PeakCalc!$L$10:$L$303,MATCH(tblPivotData[[#This Row],[Time]],PeakCalc!$G$10:$G$303,0))</f>
        <v>0</v>
      </c>
    </row>
    <row r="416" spans="1:9" x14ac:dyDescent="0.25">
      <c r="A416" t="s">
        <v>95</v>
      </c>
      <c r="B416" t="s">
        <v>102</v>
      </c>
      <c r="C416" t="s">
        <v>94</v>
      </c>
      <c r="D416" t="s">
        <v>91</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102</v>
      </c>
      <c r="C417" t="s">
        <v>94</v>
      </c>
      <c r="D417" t="s">
        <v>91</v>
      </c>
      <c r="E417" t="s">
        <v>44</v>
      </c>
      <c r="F417" s="6">
        <v>0.69791666666666663</v>
      </c>
      <c r="G417">
        <v>4</v>
      </c>
      <c r="H417" s="6">
        <f>FLOOR(tblPivotData[[#This Row],[Time]],Summary!$B$6/1440)</f>
        <v>0.69791666666666663</v>
      </c>
      <c r="I417" s="49">
        <f>INDEX(PeakCalc!$L$10:$L$303,MATCH(tblPivotData[[#This Row],[Time]],PeakCalc!$G$10:$G$303,0))</f>
        <v>1</v>
      </c>
    </row>
    <row r="418" spans="1:9" x14ac:dyDescent="0.25">
      <c r="A418" t="s">
        <v>95</v>
      </c>
      <c r="B418" t="s">
        <v>102</v>
      </c>
      <c r="C418" t="s">
        <v>94</v>
      </c>
      <c r="D418" t="s">
        <v>91</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95</v>
      </c>
      <c r="B419" t="s">
        <v>102</v>
      </c>
      <c r="C419" t="s">
        <v>94</v>
      </c>
      <c r="D419" t="s">
        <v>91</v>
      </c>
      <c r="E419" t="s">
        <v>44</v>
      </c>
      <c r="F419" s="6">
        <v>0.71875</v>
      </c>
      <c r="G419">
        <v>1</v>
      </c>
      <c r="H419" s="6">
        <f>FLOOR(tblPivotData[[#This Row],[Time]],Summary!$B$6/1440)</f>
        <v>0.71875</v>
      </c>
      <c r="I419" s="49">
        <f>INDEX(PeakCalc!$L$10:$L$303,MATCH(tblPivotData[[#This Row],[Time]],PeakCalc!$G$10:$G$303,0))</f>
        <v>1</v>
      </c>
    </row>
    <row r="420" spans="1:9" x14ac:dyDescent="0.25">
      <c r="A420" t="s">
        <v>95</v>
      </c>
      <c r="B420" t="s">
        <v>102</v>
      </c>
      <c r="C420" t="s">
        <v>94</v>
      </c>
      <c r="D420" t="s">
        <v>91</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102</v>
      </c>
      <c r="C421" t="s">
        <v>94</v>
      </c>
      <c r="D421" t="s">
        <v>91</v>
      </c>
      <c r="E421" t="s">
        <v>44</v>
      </c>
      <c r="F421" s="6">
        <v>0.73958333333333337</v>
      </c>
      <c r="G421">
        <v>0</v>
      </c>
      <c r="H421" s="6">
        <f>FLOOR(tblPivotData[[#This Row],[Time]],Summary!$B$6/1440)</f>
        <v>0.73958333333333326</v>
      </c>
      <c r="I4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93</v>
      </c>
      <c r="D11" s="54"/>
      <c r="E11" s="54"/>
      <c r="F11" s="54"/>
      <c r="G11" s="54"/>
      <c r="H11" s="54"/>
      <c r="I11" s="54"/>
      <c r="J11" s="54"/>
      <c r="K11" s="51" t="s">
        <v>104</v>
      </c>
      <c r="L11" s="53" t="s">
        <v>94</v>
      </c>
      <c r="M11" s="54"/>
      <c r="N11" s="54"/>
      <c r="O11" s="54"/>
      <c r="P11" s="54"/>
      <c r="Q11" s="54"/>
      <c r="R11" s="54"/>
      <c r="S11" s="54"/>
      <c r="T11" s="54"/>
      <c r="U11" s="54"/>
      <c r="V11" s="54"/>
      <c r="W11" s="54"/>
      <c r="X11" s="51" t="s">
        <v>105</v>
      </c>
      <c r="Y11" s="53" t="s">
        <v>95</v>
      </c>
      <c r="Z11" s="54"/>
      <c r="AA11" s="54"/>
      <c r="AB11" s="54"/>
      <c r="AC11" s="54"/>
      <c r="AD11" s="54"/>
      <c r="AE11" s="54"/>
      <c r="AF11" s="54"/>
      <c r="AG11" s="51" t="s">
        <v>106</v>
      </c>
      <c r="AH11" s="51" t="s">
        <v>49</v>
      </c>
    </row>
    <row r="12" spans="2:34" x14ac:dyDescent="0.25">
      <c r="B12" s="25"/>
      <c r="C12" s="51" t="s">
        <v>96</v>
      </c>
      <c r="D12" s="52"/>
      <c r="E12" s="52"/>
      <c r="F12" s="51" t="s">
        <v>107</v>
      </c>
      <c r="G12" s="51" t="s">
        <v>97</v>
      </c>
      <c r="H12" s="52"/>
      <c r="I12" s="52"/>
      <c r="J12" s="51" t="s">
        <v>108</v>
      </c>
      <c r="K12" s="52"/>
      <c r="L12" s="51" t="s">
        <v>98</v>
      </c>
      <c r="M12" s="52"/>
      <c r="N12" s="52"/>
      <c r="O12" s="51" t="s">
        <v>109</v>
      </c>
      <c r="P12" s="51" t="s">
        <v>99</v>
      </c>
      <c r="Q12" s="52"/>
      <c r="R12" s="52"/>
      <c r="S12" s="51" t="s">
        <v>110</v>
      </c>
      <c r="T12" s="51" t="s">
        <v>100</v>
      </c>
      <c r="U12" s="52"/>
      <c r="V12" s="52"/>
      <c r="W12" s="51" t="s">
        <v>111</v>
      </c>
      <c r="X12" s="52"/>
      <c r="Y12" s="51" t="s">
        <v>101</v>
      </c>
      <c r="Z12" s="52"/>
      <c r="AA12" s="52"/>
      <c r="AB12" s="51" t="s">
        <v>112</v>
      </c>
      <c r="AC12" s="51" t="s">
        <v>102</v>
      </c>
      <c r="AD12" s="52"/>
      <c r="AE12" s="52"/>
      <c r="AF12" s="51" t="s">
        <v>113</v>
      </c>
      <c r="AG12" s="52"/>
      <c r="AH12" s="52"/>
    </row>
    <row r="13" spans="2:34"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24" t="s">
        <v>79</v>
      </c>
      <c r="U13" s="24" t="s">
        <v>89</v>
      </c>
      <c r="V13" s="24" t="s">
        <v>91</v>
      </c>
      <c r="W13" s="52"/>
      <c r="X13" s="52"/>
      <c r="Y13" s="24" t="s">
        <v>79</v>
      </c>
      <c r="Z13" s="24" t="s">
        <v>89</v>
      </c>
      <c r="AA13" s="24" t="s">
        <v>91</v>
      </c>
      <c r="AB13" s="52"/>
      <c r="AC13" s="24" t="s">
        <v>79</v>
      </c>
      <c r="AD13" s="24" t="s">
        <v>89</v>
      </c>
      <c r="AE13" s="24" t="s">
        <v>91</v>
      </c>
      <c r="AF13" s="52"/>
      <c r="AG13" s="52"/>
      <c r="AH13" s="52"/>
    </row>
    <row r="14" spans="2:34" x14ac:dyDescent="0.25">
      <c r="B14" s="10" t="s">
        <v>43</v>
      </c>
      <c r="C14" s="49">
        <v>83</v>
      </c>
      <c r="D14" s="49">
        <v>23</v>
      </c>
      <c r="E14" s="49">
        <v>2</v>
      </c>
      <c r="F14" s="49">
        <v>108</v>
      </c>
      <c r="G14" s="49">
        <v>179</v>
      </c>
      <c r="H14" s="49">
        <v>2</v>
      </c>
      <c r="I14" s="49">
        <v>5</v>
      </c>
      <c r="J14" s="49">
        <v>186</v>
      </c>
      <c r="K14" s="49">
        <v>294</v>
      </c>
      <c r="L14" s="49">
        <v>638</v>
      </c>
      <c r="M14" s="49">
        <v>9</v>
      </c>
      <c r="N14" s="49">
        <v>18</v>
      </c>
      <c r="O14" s="49">
        <v>665</v>
      </c>
      <c r="P14" s="49">
        <v>350</v>
      </c>
      <c r="Q14" s="49">
        <v>19</v>
      </c>
      <c r="R14" s="49">
        <v>26</v>
      </c>
      <c r="S14" s="49">
        <v>395</v>
      </c>
      <c r="T14" s="49">
        <v>2</v>
      </c>
      <c r="U14" s="49">
        <v>0</v>
      </c>
      <c r="V14" s="49">
        <v>0</v>
      </c>
      <c r="W14" s="49">
        <v>2</v>
      </c>
      <c r="X14" s="49">
        <v>1062</v>
      </c>
      <c r="Y14" s="49">
        <v>261</v>
      </c>
      <c r="Z14" s="49">
        <v>3</v>
      </c>
      <c r="AA14" s="49">
        <v>1</v>
      </c>
      <c r="AB14" s="49">
        <v>265</v>
      </c>
      <c r="AC14" s="49">
        <v>237</v>
      </c>
      <c r="AD14" s="49">
        <v>15</v>
      </c>
      <c r="AE14" s="49">
        <v>1</v>
      </c>
      <c r="AF14" s="49">
        <v>253</v>
      </c>
      <c r="AG14" s="49">
        <v>518</v>
      </c>
      <c r="AH14" s="49">
        <v>1874</v>
      </c>
    </row>
    <row r="15" spans="2:34" x14ac:dyDescent="0.25">
      <c r="B15" s="11">
        <v>0.29166666666666669</v>
      </c>
      <c r="C15" s="49">
        <v>3</v>
      </c>
      <c r="D15" s="49">
        <v>4</v>
      </c>
      <c r="E15" s="49">
        <v>0</v>
      </c>
      <c r="F15" s="49">
        <v>7</v>
      </c>
      <c r="G15" s="49">
        <v>18</v>
      </c>
      <c r="H15" s="49">
        <v>0</v>
      </c>
      <c r="I15" s="49">
        <v>0</v>
      </c>
      <c r="J15" s="49">
        <v>18</v>
      </c>
      <c r="K15" s="49">
        <v>25</v>
      </c>
      <c r="L15" s="49">
        <v>57</v>
      </c>
      <c r="M15" s="49">
        <v>2</v>
      </c>
      <c r="N15" s="49">
        <v>1</v>
      </c>
      <c r="O15" s="49">
        <v>60</v>
      </c>
      <c r="P15" s="49">
        <v>22</v>
      </c>
      <c r="Q15" s="49">
        <v>2</v>
      </c>
      <c r="R15" s="49">
        <v>3</v>
      </c>
      <c r="S15" s="49">
        <v>27</v>
      </c>
      <c r="T15" s="49">
        <v>0</v>
      </c>
      <c r="U15" s="49">
        <v>0</v>
      </c>
      <c r="V15" s="49">
        <v>0</v>
      </c>
      <c r="W15" s="49">
        <v>0</v>
      </c>
      <c r="X15" s="49">
        <v>87</v>
      </c>
      <c r="Y15" s="49">
        <v>15</v>
      </c>
      <c r="Z15" s="49">
        <v>0</v>
      </c>
      <c r="AA15" s="49">
        <v>0</v>
      </c>
      <c r="AB15" s="49">
        <v>15</v>
      </c>
      <c r="AC15" s="49">
        <v>21</v>
      </c>
      <c r="AD15" s="49">
        <v>3</v>
      </c>
      <c r="AE15" s="49">
        <v>0</v>
      </c>
      <c r="AF15" s="49">
        <v>24</v>
      </c>
      <c r="AG15" s="49">
        <v>39</v>
      </c>
      <c r="AH15" s="49">
        <v>151</v>
      </c>
    </row>
    <row r="16" spans="2:34" x14ac:dyDescent="0.25">
      <c r="B16" s="11">
        <v>0.30208333333333331</v>
      </c>
      <c r="C16" s="49">
        <v>3</v>
      </c>
      <c r="D16" s="49">
        <v>1</v>
      </c>
      <c r="E16" s="49">
        <v>0</v>
      </c>
      <c r="F16" s="49">
        <v>4</v>
      </c>
      <c r="G16" s="49">
        <v>20</v>
      </c>
      <c r="H16" s="49">
        <v>0</v>
      </c>
      <c r="I16" s="49">
        <v>2</v>
      </c>
      <c r="J16" s="49">
        <v>22</v>
      </c>
      <c r="K16" s="49">
        <v>26</v>
      </c>
      <c r="L16" s="49">
        <v>71</v>
      </c>
      <c r="M16" s="49">
        <v>0</v>
      </c>
      <c r="N16" s="49">
        <v>1</v>
      </c>
      <c r="O16" s="49">
        <v>72</v>
      </c>
      <c r="P16" s="49">
        <v>38</v>
      </c>
      <c r="Q16" s="49">
        <v>2</v>
      </c>
      <c r="R16" s="49">
        <v>1</v>
      </c>
      <c r="S16" s="49">
        <v>41</v>
      </c>
      <c r="T16" s="49">
        <v>0</v>
      </c>
      <c r="U16" s="49">
        <v>0</v>
      </c>
      <c r="V16" s="49">
        <v>0</v>
      </c>
      <c r="W16" s="49">
        <v>0</v>
      </c>
      <c r="X16" s="49">
        <v>113</v>
      </c>
      <c r="Y16" s="49">
        <v>19</v>
      </c>
      <c r="Z16" s="49">
        <v>0</v>
      </c>
      <c r="AA16" s="49">
        <v>0</v>
      </c>
      <c r="AB16" s="49">
        <v>19</v>
      </c>
      <c r="AC16" s="49">
        <v>21</v>
      </c>
      <c r="AD16" s="49">
        <v>1</v>
      </c>
      <c r="AE16" s="49">
        <v>0</v>
      </c>
      <c r="AF16" s="49">
        <v>22</v>
      </c>
      <c r="AG16" s="49">
        <v>41</v>
      </c>
      <c r="AH16" s="49">
        <v>180</v>
      </c>
    </row>
    <row r="17" spans="2:34" x14ac:dyDescent="0.25">
      <c r="B17" s="11">
        <v>0.3125</v>
      </c>
      <c r="C17" s="49">
        <v>5</v>
      </c>
      <c r="D17" s="49">
        <v>3</v>
      </c>
      <c r="E17" s="49">
        <v>1</v>
      </c>
      <c r="F17" s="49">
        <v>9</v>
      </c>
      <c r="G17" s="49">
        <v>24</v>
      </c>
      <c r="H17" s="49">
        <v>0</v>
      </c>
      <c r="I17" s="49">
        <v>1</v>
      </c>
      <c r="J17" s="49">
        <v>25</v>
      </c>
      <c r="K17" s="49">
        <v>34</v>
      </c>
      <c r="L17" s="49">
        <v>89</v>
      </c>
      <c r="M17" s="49">
        <v>0</v>
      </c>
      <c r="N17" s="49">
        <v>3</v>
      </c>
      <c r="O17" s="49">
        <v>92</v>
      </c>
      <c r="P17" s="49">
        <v>45</v>
      </c>
      <c r="Q17" s="49">
        <v>4</v>
      </c>
      <c r="R17" s="49">
        <v>7</v>
      </c>
      <c r="S17" s="49">
        <v>56</v>
      </c>
      <c r="T17" s="49">
        <v>0</v>
      </c>
      <c r="U17" s="49">
        <v>0</v>
      </c>
      <c r="V17" s="49">
        <v>0</v>
      </c>
      <c r="W17" s="49">
        <v>0</v>
      </c>
      <c r="X17" s="49">
        <v>148</v>
      </c>
      <c r="Y17" s="49">
        <v>30</v>
      </c>
      <c r="Z17" s="49">
        <v>0</v>
      </c>
      <c r="AA17" s="49">
        <v>0</v>
      </c>
      <c r="AB17" s="49">
        <v>30</v>
      </c>
      <c r="AC17" s="49">
        <v>32</v>
      </c>
      <c r="AD17" s="49">
        <v>0</v>
      </c>
      <c r="AE17" s="49">
        <v>0</v>
      </c>
      <c r="AF17" s="49">
        <v>32</v>
      </c>
      <c r="AG17" s="49">
        <v>62</v>
      </c>
      <c r="AH17" s="49">
        <v>244</v>
      </c>
    </row>
    <row r="18" spans="2:34" x14ac:dyDescent="0.25">
      <c r="B18" s="11">
        <v>0.32291666666666669</v>
      </c>
      <c r="C18" s="49">
        <v>14</v>
      </c>
      <c r="D18" s="49">
        <v>2</v>
      </c>
      <c r="E18" s="49">
        <v>1</v>
      </c>
      <c r="F18" s="49">
        <v>17</v>
      </c>
      <c r="G18" s="49">
        <v>13</v>
      </c>
      <c r="H18" s="49">
        <v>1</v>
      </c>
      <c r="I18" s="49">
        <v>1</v>
      </c>
      <c r="J18" s="49">
        <v>15</v>
      </c>
      <c r="K18" s="49">
        <v>32</v>
      </c>
      <c r="L18" s="49">
        <v>74</v>
      </c>
      <c r="M18" s="49">
        <v>0</v>
      </c>
      <c r="N18" s="49">
        <v>1</v>
      </c>
      <c r="O18" s="49">
        <v>75</v>
      </c>
      <c r="P18" s="49">
        <v>44</v>
      </c>
      <c r="Q18" s="49">
        <v>1</v>
      </c>
      <c r="R18" s="49">
        <v>4</v>
      </c>
      <c r="S18" s="49">
        <v>49</v>
      </c>
      <c r="T18" s="49">
        <v>1</v>
      </c>
      <c r="U18" s="49">
        <v>0</v>
      </c>
      <c r="V18" s="49">
        <v>0</v>
      </c>
      <c r="W18" s="49">
        <v>1</v>
      </c>
      <c r="X18" s="49">
        <v>125</v>
      </c>
      <c r="Y18" s="49">
        <v>31</v>
      </c>
      <c r="Z18" s="49">
        <v>2</v>
      </c>
      <c r="AA18" s="49">
        <v>0</v>
      </c>
      <c r="AB18" s="49">
        <v>33</v>
      </c>
      <c r="AC18" s="49">
        <v>31</v>
      </c>
      <c r="AD18" s="49">
        <v>1</v>
      </c>
      <c r="AE18" s="49">
        <v>0</v>
      </c>
      <c r="AF18" s="49">
        <v>32</v>
      </c>
      <c r="AG18" s="49">
        <v>65</v>
      </c>
      <c r="AH18" s="49">
        <v>222</v>
      </c>
    </row>
    <row r="19" spans="2:34" x14ac:dyDescent="0.25">
      <c r="B19" s="11">
        <v>0.33333333333333331</v>
      </c>
      <c r="C19" s="49">
        <v>9</v>
      </c>
      <c r="D19" s="49">
        <v>3</v>
      </c>
      <c r="E19" s="49">
        <v>0</v>
      </c>
      <c r="F19" s="49">
        <v>12</v>
      </c>
      <c r="G19" s="49">
        <v>28</v>
      </c>
      <c r="H19" s="49">
        <v>0</v>
      </c>
      <c r="I19" s="49">
        <v>1</v>
      </c>
      <c r="J19" s="49">
        <v>29</v>
      </c>
      <c r="K19" s="49">
        <v>41</v>
      </c>
      <c r="L19" s="49">
        <v>95</v>
      </c>
      <c r="M19" s="49">
        <v>3</v>
      </c>
      <c r="N19" s="49">
        <v>3</v>
      </c>
      <c r="O19" s="49">
        <v>101</v>
      </c>
      <c r="P19" s="49">
        <v>49</v>
      </c>
      <c r="Q19" s="49">
        <v>3</v>
      </c>
      <c r="R19" s="49">
        <v>7</v>
      </c>
      <c r="S19" s="49">
        <v>59</v>
      </c>
      <c r="T19" s="49">
        <v>0</v>
      </c>
      <c r="U19" s="49">
        <v>0</v>
      </c>
      <c r="V19" s="49">
        <v>0</v>
      </c>
      <c r="W19" s="49">
        <v>0</v>
      </c>
      <c r="X19" s="49">
        <v>160</v>
      </c>
      <c r="Y19" s="49">
        <v>42</v>
      </c>
      <c r="Z19" s="49">
        <v>0</v>
      </c>
      <c r="AA19" s="49">
        <v>1</v>
      </c>
      <c r="AB19" s="49">
        <v>43</v>
      </c>
      <c r="AC19" s="49">
        <v>35</v>
      </c>
      <c r="AD19" s="49">
        <v>2</v>
      </c>
      <c r="AE19" s="49">
        <v>0</v>
      </c>
      <c r="AF19" s="49">
        <v>37</v>
      </c>
      <c r="AG19" s="49">
        <v>80</v>
      </c>
      <c r="AH19" s="49">
        <v>281</v>
      </c>
    </row>
    <row r="20" spans="2:34" x14ac:dyDescent="0.25">
      <c r="B20" s="11">
        <v>0.34375</v>
      </c>
      <c r="C20" s="49">
        <v>11</v>
      </c>
      <c r="D20" s="49">
        <v>1</v>
      </c>
      <c r="E20" s="49">
        <v>0</v>
      </c>
      <c r="F20" s="49">
        <v>12</v>
      </c>
      <c r="G20" s="49">
        <v>20</v>
      </c>
      <c r="H20" s="49">
        <v>0</v>
      </c>
      <c r="I20" s="49">
        <v>0</v>
      </c>
      <c r="J20" s="49">
        <v>20</v>
      </c>
      <c r="K20" s="49">
        <v>32</v>
      </c>
      <c r="L20" s="49">
        <v>100</v>
      </c>
      <c r="M20" s="49">
        <v>1</v>
      </c>
      <c r="N20" s="49">
        <v>7</v>
      </c>
      <c r="O20" s="49">
        <v>108</v>
      </c>
      <c r="P20" s="49">
        <v>59</v>
      </c>
      <c r="Q20" s="49">
        <v>3</v>
      </c>
      <c r="R20" s="49">
        <v>2</v>
      </c>
      <c r="S20" s="49">
        <v>64</v>
      </c>
      <c r="T20" s="49">
        <v>0</v>
      </c>
      <c r="U20" s="49">
        <v>0</v>
      </c>
      <c r="V20" s="49">
        <v>0</v>
      </c>
      <c r="W20" s="49">
        <v>0</v>
      </c>
      <c r="X20" s="49">
        <v>172</v>
      </c>
      <c r="Y20" s="49">
        <v>41</v>
      </c>
      <c r="Z20" s="49">
        <v>1</v>
      </c>
      <c r="AA20" s="49">
        <v>0</v>
      </c>
      <c r="AB20" s="49">
        <v>42</v>
      </c>
      <c r="AC20" s="49">
        <v>26</v>
      </c>
      <c r="AD20" s="49">
        <v>1</v>
      </c>
      <c r="AE20" s="49">
        <v>0</v>
      </c>
      <c r="AF20" s="49">
        <v>27</v>
      </c>
      <c r="AG20" s="49">
        <v>69</v>
      </c>
      <c r="AH20" s="49">
        <v>273</v>
      </c>
    </row>
    <row r="21" spans="2:34" x14ac:dyDescent="0.25">
      <c r="B21" s="11">
        <v>0.35416666666666669</v>
      </c>
      <c r="C21" s="49">
        <v>19</v>
      </c>
      <c r="D21" s="49">
        <v>6</v>
      </c>
      <c r="E21" s="49">
        <v>0</v>
      </c>
      <c r="F21" s="49">
        <v>25</v>
      </c>
      <c r="G21" s="49">
        <v>40</v>
      </c>
      <c r="H21" s="49">
        <v>1</v>
      </c>
      <c r="I21" s="49">
        <v>0</v>
      </c>
      <c r="J21" s="49">
        <v>41</v>
      </c>
      <c r="K21" s="49">
        <v>66</v>
      </c>
      <c r="L21" s="49">
        <v>92</v>
      </c>
      <c r="M21" s="49">
        <v>3</v>
      </c>
      <c r="N21" s="49">
        <v>1</v>
      </c>
      <c r="O21" s="49">
        <v>96</v>
      </c>
      <c r="P21" s="49">
        <v>56</v>
      </c>
      <c r="Q21" s="49">
        <v>2</v>
      </c>
      <c r="R21" s="49">
        <v>1</v>
      </c>
      <c r="S21" s="49">
        <v>59</v>
      </c>
      <c r="T21" s="49">
        <v>0</v>
      </c>
      <c r="U21" s="49">
        <v>0</v>
      </c>
      <c r="V21" s="49">
        <v>0</v>
      </c>
      <c r="W21" s="49">
        <v>0</v>
      </c>
      <c r="X21" s="49">
        <v>155</v>
      </c>
      <c r="Y21" s="49">
        <v>48</v>
      </c>
      <c r="Z21" s="49">
        <v>0</v>
      </c>
      <c r="AA21" s="49">
        <v>0</v>
      </c>
      <c r="AB21" s="49">
        <v>48</v>
      </c>
      <c r="AC21" s="49">
        <v>32</v>
      </c>
      <c r="AD21" s="49">
        <v>4</v>
      </c>
      <c r="AE21" s="49">
        <v>1</v>
      </c>
      <c r="AF21" s="49">
        <v>37</v>
      </c>
      <c r="AG21" s="49">
        <v>85</v>
      </c>
      <c r="AH21" s="49">
        <v>306</v>
      </c>
    </row>
    <row r="22" spans="2:34" x14ac:dyDescent="0.25">
      <c r="B22" s="11">
        <v>0.36458333333333331</v>
      </c>
      <c r="C22" s="49">
        <v>19</v>
      </c>
      <c r="D22" s="49">
        <v>3</v>
      </c>
      <c r="E22" s="49">
        <v>0</v>
      </c>
      <c r="F22" s="49">
        <v>22</v>
      </c>
      <c r="G22" s="49">
        <v>16</v>
      </c>
      <c r="H22" s="49">
        <v>0</v>
      </c>
      <c r="I22" s="49">
        <v>0</v>
      </c>
      <c r="J22" s="49">
        <v>16</v>
      </c>
      <c r="K22" s="49">
        <v>38</v>
      </c>
      <c r="L22" s="49">
        <v>60</v>
      </c>
      <c r="M22" s="49">
        <v>0</v>
      </c>
      <c r="N22" s="49">
        <v>1</v>
      </c>
      <c r="O22" s="49">
        <v>61</v>
      </c>
      <c r="P22" s="49">
        <v>37</v>
      </c>
      <c r="Q22" s="49">
        <v>2</v>
      </c>
      <c r="R22" s="49">
        <v>1</v>
      </c>
      <c r="S22" s="49">
        <v>40</v>
      </c>
      <c r="T22" s="49">
        <v>1</v>
      </c>
      <c r="U22" s="49">
        <v>0</v>
      </c>
      <c r="V22" s="49">
        <v>0</v>
      </c>
      <c r="W22" s="49">
        <v>1</v>
      </c>
      <c r="X22" s="49">
        <v>102</v>
      </c>
      <c r="Y22" s="49">
        <v>35</v>
      </c>
      <c r="Z22" s="49">
        <v>0</v>
      </c>
      <c r="AA22" s="49">
        <v>0</v>
      </c>
      <c r="AB22" s="49">
        <v>35</v>
      </c>
      <c r="AC22" s="49">
        <v>39</v>
      </c>
      <c r="AD22" s="49">
        <v>3</v>
      </c>
      <c r="AE22" s="49">
        <v>0</v>
      </c>
      <c r="AF22" s="49">
        <v>42</v>
      </c>
      <c r="AG22" s="49">
        <v>77</v>
      </c>
      <c r="AH22" s="49">
        <v>217</v>
      </c>
    </row>
    <row r="23" spans="2:34" x14ac:dyDescent="0.25">
      <c r="B23" s="10" t="s">
        <v>44</v>
      </c>
      <c r="C23" s="49">
        <v>395</v>
      </c>
      <c r="D23" s="49">
        <v>19</v>
      </c>
      <c r="E23" s="49">
        <v>37</v>
      </c>
      <c r="F23" s="49">
        <v>451</v>
      </c>
      <c r="G23" s="49">
        <v>200</v>
      </c>
      <c r="H23" s="49">
        <v>1</v>
      </c>
      <c r="I23" s="49">
        <v>1</v>
      </c>
      <c r="J23" s="49">
        <v>202</v>
      </c>
      <c r="K23" s="49">
        <v>653</v>
      </c>
      <c r="L23" s="49">
        <v>446</v>
      </c>
      <c r="M23" s="49">
        <v>11</v>
      </c>
      <c r="N23" s="49">
        <v>7</v>
      </c>
      <c r="O23" s="49">
        <v>464</v>
      </c>
      <c r="P23" s="49">
        <v>178</v>
      </c>
      <c r="Q23" s="49">
        <v>20</v>
      </c>
      <c r="R23" s="49">
        <v>8</v>
      </c>
      <c r="S23" s="49">
        <v>206</v>
      </c>
      <c r="T23" s="49">
        <v>0</v>
      </c>
      <c r="U23" s="49">
        <v>0</v>
      </c>
      <c r="V23" s="49">
        <v>0</v>
      </c>
      <c r="W23" s="49">
        <v>0</v>
      </c>
      <c r="X23" s="49">
        <v>670</v>
      </c>
      <c r="Y23" s="49">
        <v>361</v>
      </c>
      <c r="Z23" s="49">
        <v>0</v>
      </c>
      <c r="AA23" s="49">
        <v>6</v>
      </c>
      <c r="AB23" s="49">
        <v>367</v>
      </c>
      <c r="AC23" s="49">
        <v>525</v>
      </c>
      <c r="AD23" s="49">
        <v>6</v>
      </c>
      <c r="AE23" s="49">
        <v>7</v>
      </c>
      <c r="AF23" s="49">
        <v>538</v>
      </c>
      <c r="AG23" s="49">
        <v>905</v>
      </c>
      <c r="AH23" s="49">
        <v>2228</v>
      </c>
    </row>
    <row r="24" spans="2:34" x14ac:dyDescent="0.25">
      <c r="B24" s="11">
        <v>0.66666666666666663</v>
      </c>
      <c r="C24" s="49">
        <v>37</v>
      </c>
      <c r="D24" s="49">
        <v>3</v>
      </c>
      <c r="E24" s="49">
        <v>2</v>
      </c>
      <c r="F24" s="49">
        <v>42</v>
      </c>
      <c r="G24" s="49">
        <v>23</v>
      </c>
      <c r="H24" s="49">
        <v>1</v>
      </c>
      <c r="I24" s="49">
        <v>0</v>
      </c>
      <c r="J24" s="49">
        <v>24</v>
      </c>
      <c r="K24" s="49">
        <v>66</v>
      </c>
      <c r="L24" s="49">
        <v>45</v>
      </c>
      <c r="M24" s="49">
        <v>0</v>
      </c>
      <c r="N24" s="49">
        <v>2</v>
      </c>
      <c r="O24" s="49">
        <v>47</v>
      </c>
      <c r="P24" s="49">
        <v>20</v>
      </c>
      <c r="Q24" s="49">
        <v>3</v>
      </c>
      <c r="R24" s="49">
        <v>2</v>
      </c>
      <c r="S24" s="49">
        <v>25</v>
      </c>
      <c r="T24" s="49">
        <v>0</v>
      </c>
      <c r="U24" s="49">
        <v>0</v>
      </c>
      <c r="V24" s="49">
        <v>0</v>
      </c>
      <c r="W24" s="49">
        <v>0</v>
      </c>
      <c r="X24" s="49">
        <v>72</v>
      </c>
      <c r="Y24" s="49">
        <v>36</v>
      </c>
      <c r="Z24" s="49">
        <v>0</v>
      </c>
      <c r="AA24" s="49">
        <v>0</v>
      </c>
      <c r="AB24" s="49">
        <v>36</v>
      </c>
      <c r="AC24" s="49">
        <v>56</v>
      </c>
      <c r="AD24" s="49">
        <v>0</v>
      </c>
      <c r="AE24" s="49">
        <v>0</v>
      </c>
      <c r="AF24" s="49">
        <v>56</v>
      </c>
      <c r="AG24" s="49">
        <v>92</v>
      </c>
      <c r="AH24" s="49">
        <v>230</v>
      </c>
    </row>
    <row r="25" spans="2:34" x14ac:dyDescent="0.25">
      <c r="B25" s="11">
        <v>0.67708333333333337</v>
      </c>
      <c r="C25" s="49">
        <v>31</v>
      </c>
      <c r="D25" s="49">
        <v>3</v>
      </c>
      <c r="E25" s="49">
        <v>3</v>
      </c>
      <c r="F25" s="49">
        <v>37</v>
      </c>
      <c r="G25" s="49">
        <v>18</v>
      </c>
      <c r="H25" s="49">
        <v>0</v>
      </c>
      <c r="I25" s="49">
        <v>0</v>
      </c>
      <c r="J25" s="49">
        <v>18</v>
      </c>
      <c r="K25" s="49">
        <v>55</v>
      </c>
      <c r="L25" s="49">
        <v>50</v>
      </c>
      <c r="M25" s="49">
        <v>1</v>
      </c>
      <c r="N25" s="49">
        <v>0</v>
      </c>
      <c r="O25" s="49">
        <v>51</v>
      </c>
      <c r="P25" s="49">
        <v>30</v>
      </c>
      <c r="Q25" s="49">
        <v>1</v>
      </c>
      <c r="R25" s="49">
        <v>1</v>
      </c>
      <c r="S25" s="49">
        <v>32</v>
      </c>
      <c r="T25" s="49">
        <v>0</v>
      </c>
      <c r="U25" s="49">
        <v>0</v>
      </c>
      <c r="V25" s="49">
        <v>0</v>
      </c>
      <c r="W25" s="49">
        <v>0</v>
      </c>
      <c r="X25" s="49">
        <v>83</v>
      </c>
      <c r="Y25" s="49">
        <v>37</v>
      </c>
      <c r="Z25" s="49">
        <v>0</v>
      </c>
      <c r="AA25" s="49">
        <v>1</v>
      </c>
      <c r="AB25" s="49">
        <v>38</v>
      </c>
      <c r="AC25" s="49">
        <v>54</v>
      </c>
      <c r="AD25" s="49">
        <v>3</v>
      </c>
      <c r="AE25" s="49">
        <v>1</v>
      </c>
      <c r="AF25" s="49">
        <v>58</v>
      </c>
      <c r="AG25" s="49">
        <v>96</v>
      </c>
      <c r="AH25" s="49">
        <v>234</v>
      </c>
    </row>
    <row r="26" spans="2:34" x14ac:dyDescent="0.25">
      <c r="B26" s="11">
        <v>0.6875</v>
      </c>
      <c r="C26" s="49">
        <v>55</v>
      </c>
      <c r="D26" s="49">
        <v>2</v>
      </c>
      <c r="E26" s="49">
        <v>3</v>
      </c>
      <c r="F26" s="49">
        <v>60</v>
      </c>
      <c r="G26" s="49">
        <v>35</v>
      </c>
      <c r="H26" s="49">
        <v>0</v>
      </c>
      <c r="I26" s="49">
        <v>0</v>
      </c>
      <c r="J26" s="49">
        <v>35</v>
      </c>
      <c r="K26" s="49">
        <v>95</v>
      </c>
      <c r="L26" s="49">
        <v>61</v>
      </c>
      <c r="M26" s="49">
        <v>4</v>
      </c>
      <c r="N26" s="49">
        <v>0</v>
      </c>
      <c r="O26" s="49">
        <v>65</v>
      </c>
      <c r="P26" s="49">
        <v>26</v>
      </c>
      <c r="Q26" s="49">
        <v>4</v>
      </c>
      <c r="R26" s="49">
        <v>0</v>
      </c>
      <c r="S26" s="49">
        <v>30</v>
      </c>
      <c r="T26" s="49">
        <v>0</v>
      </c>
      <c r="U26" s="49">
        <v>0</v>
      </c>
      <c r="V26" s="49">
        <v>0</v>
      </c>
      <c r="W26" s="49">
        <v>0</v>
      </c>
      <c r="X26" s="49">
        <v>95</v>
      </c>
      <c r="Y26" s="49">
        <v>37</v>
      </c>
      <c r="Z26" s="49">
        <v>0</v>
      </c>
      <c r="AA26" s="49">
        <v>0</v>
      </c>
      <c r="AB26" s="49">
        <v>37</v>
      </c>
      <c r="AC26" s="49">
        <v>67</v>
      </c>
      <c r="AD26" s="49">
        <v>1</v>
      </c>
      <c r="AE26" s="49">
        <v>0</v>
      </c>
      <c r="AF26" s="49">
        <v>68</v>
      </c>
      <c r="AG26" s="49">
        <v>105</v>
      </c>
      <c r="AH26" s="49">
        <v>295</v>
      </c>
    </row>
    <row r="27" spans="2:34" x14ac:dyDescent="0.25">
      <c r="B27" s="11">
        <v>0.69791666666666663</v>
      </c>
      <c r="C27" s="49">
        <v>51</v>
      </c>
      <c r="D27" s="49">
        <v>2</v>
      </c>
      <c r="E27" s="49">
        <v>5</v>
      </c>
      <c r="F27" s="49">
        <v>58</v>
      </c>
      <c r="G27" s="49">
        <v>27</v>
      </c>
      <c r="H27" s="49">
        <v>0</v>
      </c>
      <c r="I27" s="49">
        <v>0</v>
      </c>
      <c r="J27" s="49">
        <v>27</v>
      </c>
      <c r="K27" s="49">
        <v>85</v>
      </c>
      <c r="L27" s="49">
        <v>55</v>
      </c>
      <c r="M27" s="49">
        <v>0</v>
      </c>
      <c r="N27" s="49">
        <v>0</v>
      </c>
      <c r="O27" s="49">
        <v>55</v>
      </c>
      <c r="P27" s="49">
        <v>24</v>
      </c>
      <c r="Q27" s="49">
        <v>1</v>
      </c>
      <c r="R27" s="49">
        <v>1</v>
      </c>
      <c r="S27" s="49">
        <v>26</v>
      </c>
      <c r="T27" s="49">
        <v>0</v>
      </c>
      <c r="U27" s="49">
        <v>0</v>
      </c>
      <c r="V27" s="49">
        <v>0</v>
      </c>
      <c r="W27" s="49">
        <v>0</v>
      </c>
      <c r="X27" s="49">
        <v>81</v>
      </c>
      <c r="Y27" s="49">
        <v>64</v>
      </c>
      <c r="Z27" s="49">
        <v>0</v>
      </c>
      <c r="AA27" s="49">
        <v>0</v>
      </c>
      <c r="AB27" s="49">
        <v>64</v>
      </c>
      <c r="AC27" s="49">
        <v>83</v>
      </c>
      <c r="AD27" s="49">
        <v>1</v>
      </c>
      <c r="AE27" s="49">
        <v>4</v>
      </c>
      <c r="AF27" s="49">
        <v>88</v>
      </c>
      <c r="AG27" s="49">
        <v>152</v>
      </c>
      <c r="AH27" s="49">
        <v>318</v>
      </c>
    </row>
    <row r="28" spans="2:34" x14ac:dyDescent="0.25">
      <c r="B28" s="11">
        <v>0.70833333333333337</v>
      </c>
      <c r="C28" s="49">
        <v>46</v>
      </c>
      <c r="D28" s="49">
        <v>2</v>
      </c>
      <c r="E28" s="49">
        <v>9</v>
      </c>
      <c r="F28" s="49">
        <v>57</v>
      </c>
      <c r="G28" s="49">
        <v>25</v>
      </c>
      <c r="H28" s="49">
        <v>0</v>
      </c>
      <c r="I28" s="49">
        <v>1</v>
      </c>
      <c r="J28" s="49">
        <v>26</v>
      </c>
      <c r="K28" s="49">
        <v>83</v>
      </c>
      <c r="L28" s="49">
        <v>59</v>
      </c>
      <c r="M28" s="49">
        <v>1</v>
      </c>
      <c r="N28" s="49">
        <v>1</v>
      </c>
      <c r="O28" s="49">
        <v>61</v>
      </c>
      <c r="P28" s="49">
        <v>21</v>
      </c>
      <c r="Q28" s="49">
        <v>3</v>
      </c>
      <c r="R28" s="49">
        <v>0</v>
      </c>
      <c r="S28" s="49">
        <v>24</v>
      </c>
      <c r="T28" s="49">
        <v>0</v>
      </c>
      <c r="U28" s="49">
        <v>0</v>
      </c>
      <c r="V28" s="49">
        <v>0</v>
      </c>
      <c r="W28" s="49">
        <v>0</v>
      </c>
      <c r="X28" s="49">
        <v>85</v>
      </c>
      <c r="Y28" s="49">
        <v>63</v>
      </c>
      <c r="Z28" s="49">
        <v>0</v>
      </c>
      <c r="AA28" s="49">
        <v>3</v>
      </c>
      <c r="AB28" s="49">
        <v>66</v>
      </c>
      <c r="AC28" s="49">
        <v>54</v>
      </c>
      <c r="AD28" s="49">
        <v>0</v>
      </c>
      <c r="AE28" s="49">
        <v>1</v>
      </c>
      <c r="AF28" s="49">
        <v>55</v>
      </c>
      <c r="AG28" s="49">
        <v>121</v>
      </c>
      <c r="AH28" s="49">
        <v>289</v>
      </c>
    </row>
    <row r="29" spans="2:34" x14ac:dyDescent="0.25">
      <c r="B29" s="11">
        <v>0.71875</v>
      </c>
      <c r="C29" s="49">
        <v>54</v>
      </c>
      <c r="D29" s="49">
        <v>1</v>
      </c>
      <c r="E29" s="49">
        <v>7</v>
      </c>
      <c r="F29" s="49">
        <v>62</v>
      </c>
      <c r="G29" s="49">
        <v>28</v>
      </c>
      <c r="H29" s="49">
        <v>0</v>
      </c>
      <c r="I29" s="49">
        <v>0</v>
      </c>
      <c r="J29" s="49">
        <v>28</v>
      </c>
      <c r="K29" s="49">
        <v>90</v>
      </c>
      <c r="L29" s="49">
        <v>64</v>
      </c>
      <c r="M29" s="49">
        <v>3</v>
      </c>
      <c r="N29" s="49">
        <v>1</v>
      </c>
      <c r="O29" s="49">
        <v>68</v>
      </c>
      <c r="P29" s="49">
        <v>18</v>
      </c>
      <c r="Q29" s="49">
        <v>1</v>
      </c>
      <c r="R29" s="49">
        <v>1</v>
      </c>
      <c r="S29" s="49">
        <v>20</v>
      </c>
      <c r="T29" s="49">
        <v>0</v>
      </c>
      <c r="U29" s="49">
        <v>0</v>
      </c>
      <c r="V29" s="49">
        <v>0</v>
      </c>
      <c r="W29" s="49">
        <v>0</v>
      </c>
      <c r="X29" s="49">
        <v>88</v>
      </c>
      <c r="Y29" s="49">
        <v>39</v>
      </c>
      <c r="Z29" s="49">
        <v>0</v>
      </c>
      <c r="AA29" s="49">
        <v>1</v>
      </c>
      <c r="AB29" s="49">
        <v>40</v>
      </c>
      <c r="AC29" s="49">
        <v>64</v>
      </c>
      <c r="AD29" s="49">
        <v>0</v>
      </c>
      <c r="AE29" s="49">
        <v>1</v>
      </c>
      <c r="AF29" s="49">
        <v>65</v>
      </c>
      <c r="AG29" s="49">
        <v>105</v>
      </c>
      <c r="AH29" s="49">
        <v>283</v>
      </c>
    </row>
    <row r="30" spans="2:34" x14ac:dyDescent="0.25">
      <c r="B30" s="11">
        <v>0.72916666666666663</v>
      </c>
      <c r="C30" s="49">
        <v>59</v>
      </c>
      <c r="D30" s="49">
        <v>3</v>
      </c>
      <c r="E30" s="49">
        <v>5</v>
      </c>
      <c r="F30" s="49">
        <v>67</v>
      </c>
      <c r="G30" s="49">
        <v>25</v>
      </c>
      <c r="H30" s="49">
        <v>0</v>
      </c>
      <c r="I30" s="49">
        <v>0</v>
      </c>
      <c r="J30" s="49">
        <v>25</v>
      </c>
      <c r="K30" s="49">
        <v>92</v>
      </c>
      <c r="L30" s="49">
        <v>54</v>
      </c>
      <c r="M30" s="49">
        <v>1</v>
      </c>
      <c r="N30" s="49">
        <v>2</v>
      </c>
      <c r="O30" s="49">
        <v>57</v>
      </c>
      <c r="P30" s="49">
        <v>20</v>
      </c>
      <c r="Q30" s="49">
        <v>3</v>
      </c>
      <c r="R30" s="49">
        <v>2</v>
      </c>
      <c r="S30" s="49">
        <v>25</v>
      </c>
      <c r="T30" s="49">
        <v>0</v>
      </c>
      <c r="U30" s="49">
        <v>0</v>
      </c>
      <c r="V30" s="49">
        <v>0</v>
      </c>
      <c r="W30" s="49">
        <v>0</v>
      </c>
      <c r="X30" s="49">
        <v>82</v>
      </c>
      <c r="Y30" s="49">
        <v>59</v>
      </c>
      <c r="Z30" s="49">
        <v>0</v>
      </c>
      <c r="AA30" s="49">
        <v>1</v>
      </c>
      <c r="AB30" s="49">
        <v>60</v>
      </c>
      <c r="AC30" s="49">
        <v>85</v>
      </c>
      <c r="AD30" s="49">
        <v>0</v>
      </c>
      <c r="AE30" s="49">
        <v>0</v>
      </c>
      <c r="AF30" s="49">
        <v>85</v>
      </c>
      <c r="AG30" s="49">
        <v>145</v>
      </c>
      <c r="AH30" s="49">
        <v>319</v>
      </c>
    </row>
    <row r="31" spans="2:34" x14ac:dyDescent="0.25">
      <c r="B31" s="11">
        <v>0.73958333333333337</v>
      </c>
      <c r="C31" s="49">
        <v>62</v>
      </c>
      <c r="D31" s="49">
        <v>3</v>
      </c>
      <c r="E31" s="49">
        <v>3</v>
      </c>
      <c r="F31" s="49">
        <v>68</v>
      </c>
      <c r="G31" s="49">
        <v>19</v>
      </c>
      <c r="H31" s="49">
        <v>0</v>
      </c>
      <c r="I31" s="49">
        <v>0</v>
      </c>
      <c r="J31" s="49">
        <v>19</v>
      </c>
      <c r="K31" s="49">
        <v>87</v>
      </c>
      <c r="L31" s="49">
        <v>58</v>
      </c>
      <c r="M31" s="49">
        <v>1</v>
      </c>
      <c r="N31" s="49">
        <v>1</v>
      </c>
      <c r="O31" s="49">
        <v>60</v>
      </c>
      <c r="P31" s="49">
        <v>19</v>
      </c>
      <c r="Q31" s="49">
        <v>4</v>
      </c>
      <c r="R31" s="49">
        <v>1</v>
      </c>
      <c r="S31" s="49">
        <v>24</v>
      </c>
      <c r="T31" s="49">
        <v>0</v>
      </c>
      <c r="U31" s="49">
        <v>0</v>
      </c>
      <c r="V31" s="49">
        <v>0</v>
      </c>
      <c r="W31" s="49">
        <v>0</v>
      </c>
      <c r="X31" s="49">
        <v>84</v>
      </c>
      <c r="Y31" s="49">
        <v>26</v>
      </c>
      <c r="Z31" s="49">
        <v>0</v>
      </c>
      <c r="AA31" s="49">
        <v>0</v>
      </c>
      <c r="AB31" s="49">
        <v>26</v>
      </c>
      <c r="AC31" s="49">
        <v>62</v>
      </c>
      <c r="AD31" s="49">
        <v>1</v>
      </c>
      <c r="AE31" s="49">
        <v>0</v>
      </c>
      <c r="AF31" s="49">
        <v>63</v>
      </c>
      <c r="AG31" s="49">
        <v>89</v>
      </c>
      <c r="AH31" s="49">
        <v>260</v>
      </c>
    </row>
    <row r="32" spans="2:34" x14ac:dyDescent="0.25">
      <c r="B32" s="10" t="s">
        <v>90</v>
      </c>
      <c r="C32" s="49">
        <v>89</v>
      </c>
      <c r="D32" s="49">
        <v>9</v>
      </c>
      <c r="E32" s="49">
        <v>2</v>
      </c>
      <c r="F32" s="49">
        <v>100</v>
      </c>
      <c r="G32" s="49">
        <v>57</v>
      </c>
      <c r="H32" s="49">
        <v>0</v>
      </c>
      <c r="I32" s="49">
        <v>0</v>
      </c>
      <c r="J32" s="49">
        <v>57</v>
      </c>
      <c r="K32" s="49">
        <v>157</v>
      </c>
      <c r="L32" s="49">
        <v>157</v>
      </c>
      <c r="M32" s="49">
        <v>9</v>
      </c>
      <c r="N32" s="49">
        <v>2</v>
      </c>
      <c r="O32" s="49">
        <v>168</v>
      </c>
      <c r="P32" s="49">
        <v>58</v>
      </c>
      <c r="Q32" s="49">
        <v>11</v>
      </c>
      <c r="R32" s="49">
        <v>6</v>
      </c>
      <c r="S32" s="49">
        <v>75</v>
      </c>
      <c r="T32" s="49">
        <v>2</v>
      </c>
      <c r="U32" s="49">
        <v>0</v>
      </c>
      <c r="V32" s="49">
        <v>0</v>
      </c>
      <c r="W32" s="49">
        <v>2</v>
      </c>
      <c r="X32" s="49">
        <v>245</v>
      </c>
      <c r="Y32" s="49">
        <v>65</v>
      </c>
      <c r="Z32" s="49">
        <v>3</v>
      </c>
      <c r="AA32" s="49">
        <v>0</v>
      </c>
      <c r="AB32" s="49">
        <v>68</v>
      </c>
      <c r="AC32" s="49">
        <v>120</v>
      </c>
      <c r="AD32" s="49">
        <v>3</v>
      </c>
      <c r="AE32" s="49">
        <v>1</v>
      </c>
      <c r="AF32" s="49">
        <v>124</v>
      </c>
      <c r="AG32" s="49">
        <v>192</v>
      </c>
      <c r="AH32" s="49">
        <v>594</v>
      </c>
    </row>
    <row r="33" spans="2:34" x14ac:dyDescent="0.25">
      <c r="B33" s="11">
        <v>0.54166666666666663</v>
      </c>
      <c r="C33" s="49">
        <v>23</v>
      </c>
      <c r="D33" s="49">
        <v>3</v>
      </c>
      <c r="E33" s="49">
        <v>1</v>
      </c>
      <c r="F33" s="49">
        <v>27</v>
      </c>
      <c r="G33" s="49">
        <v>18</v>
      </c>
      <c r="H33" s="49">
        <v>0</v>
      </c>
      <c r="I33" s="49">
        <v>0</v>
      </c>
      <c r="J33" s="49">
        <v>18</v>
      </c>
      <c r="K33" s="49">
        <v>45</v>
      </c>
      <c r="L33" s="49">
        <v>45</v>
      </c>
      <c r="M33" s="49">
        <v>3</v>
      </c>
      <c r="N33" s="49">
        <v>1</v>
      </c>
      <c r="O33" s="49">
        <v>49</v>
      </c>
      <c r="P33" s="49">
        <v>9</v>
      </c>
      <c r="Q33" s="49">
        <v>3</v>
      </c>
      <c r="R33" s="49">
        <v>3</v>
      </c>
      <c r="S33" s="49">
        <v>15</v>
      </c>
      <c r="T33" s="49">
        <v>0</v>
      </c>
      <c r="U33" s="49">
        <v>0</v>
      </c>
      <c r="V33" s="49">
        <v>0</v>
      </c>
      <c r="W33" s="49">
        <v>0</v>
      </c>
      <c r="X33" s="49">
        <v>64</v>
      </c>
      <c r="Y33" s="49">
        <v>14</v>
      </c>
      <c r="Z33" s="49">
        <v>0</v>
      </c>
      <c r="AA33" s="49">
        <v>0</v>
      </c>
      <c r="AB33" s="49">
        <v>14</v>
      </c>
      <c r="AC33" s="49">
        <v>36</v>
      </c>
      <c r="AD33" s="49">
        <v>1</v>
      </c>
      <c r="AE33" s="49">
        <v>0</v>
      </c>
      <c r="AF33" s="49">
        <v>37</v>
      </c>
      <c r="AG33" s="49">
        <v>51</v>
      </c>
      <c r="AH33" s="49">
        <v>160</v>
      </c>
    </row>
    <row r="34" spans="2:34" x14ac:dyDescent="0.25">
      <c r="B34" s="11">
        <v>0.55208333333333337</v>
      </c>
      <c r="C34" s="49">
        <v>21</v>
      </c>
      <c r="D34" s="49">
        <v>1</v>
      </c>
      <c r="E34" s="49">
        <v>1</v>
      </c>
      <c r="F34" s="49">
        <v>23</v>
      </c>
      <c r="G34" s="49">
        <v>12</v>
      </c>
      <c r="H34" s="49">
        <v>0</v>
      </c>
      <c r="I34" s="49">
        <v>0</v>
      </c>
      <c r="J34" s="49">
        <v>12</v>
      </c>
      <c r="K34" s="49">
        <v>35</v>
      </c>
      <c r="L34" s="49">
        <v>26</v>
      </c>
      <c r="M34" s="49">
        <v>3</v>
      </c>
      <c r="N34" s="49">
        <v>0</v>
      </c>
      <c r="O34" s="49">
        <v>29</v>
      </c>
      <c r="P34" s="49">
        <v>10</v>
      </c>
      <c r="Q34" s="49">
        <v>3</v>
      </c>
      <c r="R34" s="49">
        <v>0</v>
      </c>
      <c r="S34" s="49">
        <v>13</v>
      </c>
      <c r="T34" s="49">
        <v>2</v>
      </c>
      <c r="U34" s="49">
        <v>0</v>
      </c>
      <c r="V34" s="49">
        <v>0</v>
      </c>
      <c r="W34" s="49">
        <v>2</v>
      </c>
      <c r="X34" s="49">
        <v>44</v>
      </c>
      <c r="Y34" s="49">
        <v>11</v>
      </c>
      <c r="Z34" s="49">
        <v>0</v>
      </c>
      <c r="AA34" s="49">
        <v>0</v>
      </c>
      <c r="AB34" s="49">
        <v>11</v>
      </c>
      <c r="AC34" s="49">
        <v>28</v>
      </c>
      <c r="AD34" s="49">
        <v>0</v>
      </c>
      <c r="AE34" s="49">
        <v>1</v>
      </c>
      <c r="AF34" s="49">
        <v>29</v>
      </c>
      <c r="AG34" s="49">
        <v>40</v>
      </c>
      <c r="AH34" s="49">
        <v>119</v>
      </c>
    </row>
    <row r="35" spans="2:34" x14ac:dyDescent="0.25">
      <c r="B35" s="11">
        <v>0.5625</v>
      </c>
      <c r="C35" s="49">
        <v>20</v>
      </c>
      <c r="D35" s="49">
        <v>3</v>
      </c>
      <c r="E35" s="49">
        <v>0</v>
      </c>
      <c r="F35" s="49">
        <v>23</v>
      </c>
      <c r="G35" s="49">
        <v>12</v>
      </c>
      <c r="H35" s="49">
        <v>0</v>
      </c>
      <c r="I35" s="49">
        <v>0</v>
      </c>
      <c r="J35" s="49">
        <v>12</v>
      </c>
      <c r="K35" s="49">
        <v>35</v>
      </c>
      <c r="L35" s="49">
        <v>43</v>
      </c>
      <c r="M35" s="49">
        <v>1</v>
      </c>
      <c r="N35" s="49">
        <v>0</v>
      </c>
      <c r="O35" s="49">
        <v>44</v>
      </c>
      <c r="P35" s="49">
        <v>21</v>
      </c>
      <c r="Q35" s="49">
        <v>2</v>
      </c>
      <c r="R35" s="49">
        <v>2</v>
      </c>
      <c r="S35" s="49">
        <v>25</v>
      </c>
      <c r="T35" s="49">
        <v>0</v>
      </c>
      <c r="U35" s="49">
        <v>0</v>
      </c>
      <c r="V35" s="49">
        <v>0</v>
      </c>
      <c r="W35" s="49">
        <v>0</v>
      </c>
      <c r="X35" s="49">
        <v>69</v>
      </c>
      <c r="Y35" s="49">
        <v>18</v>
      </c>
      <c r="Z35" s="49">
        <v>1</v>
      </c>
      <c r="AA35" s="49">
        <v>0</v>
      </c>
      <c r="AB35" s="49">
        <v>19</v>
      </c>
      <c r="AC35" s="49">
        <v>27</v>
      </c>
      <c r="AD35" s="49">
        <v>1</v>
      </c>
      <c r="AE35" s="49">
        <v>0</v>
      </c>
      <c r="AF35" s="49">
        <v>28</v>
      </c>
      <c r="AG35" s="49">
        <v>47</v>
      </c>
      <c r="AH35" s="49">
        <v>151</v>
      </c>
    </row>
    <row r="36" spans="2:34" x14ac:dyDescent="0.25">
      <c r="B36" s="11">
        <v>0.57291666666666663</v>
      </c>
      <c r="C36" s="49">
        <v>25</v>
      </c>
      <c r="D36" s="49">
        <v>2</v>
      </c>
      <c r="E36" s="49">
        <v>0</v>
      </c>
      <c r="F36" s="49">
        <v>27</v>
      </c>
      <c r="G36" s="49">
        <v>15</v>
      </c>
      <c r="H36" s="49">
        <v>0</v>
      </c>
      <c r="I36" s="49">
        <v>0</v>
      </c>
      <c r="J36" s="49">
        <v>15</v>
      </c>
      <c r="K36" s="49">
        <v>42</v>
      </c>
      <c r="L36" s="49">
        <v>43</v>
      </c>
      <c r="M36" s="49">
        <v>2</v>
      </c>
      <c r="N36" s="49">
        <v>1</v>
      </c>
      <c r="O36" s="49">
        <v>46</v>
      </c>
      <c r="P36" s="49">
        <v>18</v>
      </c>
      <c r="Q36" s="49">
        <v>3</v>
      </c>
      <c r="R36" s="49">
        <v>1</v>
      </c>
      <c r="S36" s="49">
        <v>22</v>
      </c>
      <c r="T36" s="49">
        <v>0</v>
      </c>
      <c r="U36" s="49">
        <v>0</v>
      </c>
      <c r="V36" s="49">
        <v>0</v>
      </c>
      <c r="W36" s="49">
        <v>0</v>
      </c>
      <c r="X36" s="49">
        <v>68</v>
      </c>
      <c r="Y36" s="49">
        <v>22</v>
      </c>
      <c r="Z36" s="49">
        <v>2</v>
      </c>
      <c r="AA36" s="49">
        <v>0</v>
      </c>
      <c r="AB36" s="49">
        <v>24</v>
      </c>
      <c r="AC36" s="49">
        <v>29</v>
      </c>
      <c r="AD36" s="49">
        <v>1</v>
      </c>
      <c r="AE36" s="49">
        <v>0</v>
      </c>
      <c r="AF36" s="49">
        <v>30</v>
      </c>
      <c r="AG36" s="49">
        <v>54</v>
      </c>
      <c r="AH36" s="49">
        <v>164</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1082</v>
      </c>
      <c r="I5">
        <f>MAX(I11:I303)</f>
        <v>594</v>
      </c>
      <c r="J5">
        <f>MAX(J11:J303)</f>
        <v>1209</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1082 vehicles between 07:45 and 08:45</v>
      </c>
      <c r="I8" s="6" t="str">
        <f>IF(I5=0,"","The peak hour for " &amp;I10&amp;" is "&amp;I5&amp;" vehicles between " &amp; TEXT(I6, "hh:mm")&amp; " and " &amp;TEXT(I7,"hh:mm"))</f>
        <v>The peak hour for INT is 594 vehicles between 13:00 and 14:00</v>
      </c>
      <c r="J8" s="6" t="str">
        <f>IF(J5=0,"","The peak hour for " &amp;J10&amp;" is "&amp;J5&amp;" vehicles between " &amp; TEXT(J6, "hh:mm")&amp; " and " &amp;TEXT(J7,"hh:mm"))</f>
        <v>The peak hour for PM is 1209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151</v>
      </c>
      <c r="C11" s="49"/>
      <c r="D11" s="49"/>
      <c r="G11" s="7">
        <f>A11</f>
        <v>0.29166666666666669</v>
      </c>
      <c r="H11">
        <f>IF(B11&lt;&gt;0,SUMIF($G$11:$G11,"&gt;"&amp;$G11-1/24,B$11:B11),0)</f>
        <v>151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151</v>
      </c>
      <c r="Q11">
        <f>P11*L11</f>
        <v>0</v>
      </c>
      <c r="S11" s="9">
        <v>0.29166666666666669</v>
      </c>
      <c r="T11" s="49">
        <v>151</v>
      </c>
      <c r="U11" s="49">
        <v>0</v>
      </c>
    </row>
    <row r="12" spans="1:21" x14ac:dyDescent="0.25">
      <c r="A12" s="9">
        <v>0.30208333333333331</v>
      </c>
      <c r="B12" s="49">
        <v>180</v>
      </c>
      <c r="C12" s="49"/>
      <c r="D12" s="49"/>
      <c r="G12" s="7">
        <f t="shared" ref="G12:G26" si="3">A12</f>
        <v>0.30208333333333331</v>
      </c>
      <c r="H12">
        <f>IF(B12&lt;&gt;0,SUMIF($G$11:$G12,"&gt;"&amp;$G12-1/24,B$11:B12),0)</f>
        <v>331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180</v>
      </c>
      <c r="Q12">
        <f t="shared" ref="Q12:Q75" si="7">P12*L12</f>
        <v>0</v>
      </c>
      <c r="S12" s="9">
        <v>0.30208333333333331</v>
      </c>
      <c r="T12" s="49">
        <v>180</v>
      </c>
      <c r="U12" s="49">
        <v>0</v>
      </c>
    </row>
    <row r="13" spans="1:21" x14ac:dyDescent="0.25">
      <c r="A13" s="9">
        <v>0.3125</v>
      </c>
      <c r="B13" s="49">
        <v>244</v>
      </c>
      <c r="C13" s="49"/>
      <c r="D13" s="49"/>
      <c r="G13" s="7">
        <f t="shared" si="3"/>
        <v>0.3125</v>
      </c>
      <c r="H13">
        <f>IF(B13&lt;&gt;0,SUMIF($G$11:$G13,"&gt;"&amp;$G13-1/24,B$11:B13),0)</f>
        <v>575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244</v>
      </c>
      <c r="Q13">
        <f t="shared" si="7"/>
        <v>0</v>
      </c>
      <c r="S13" s="9">
        <v>0.3125</v>
      </c>
      <c r="T13" s="49">
        <v>244</v>
      </c>
      <c r="U13" s="49">
        <v>0</v>
      </c>
    </row>
    <row r="14" spans="1:21" x14ac:dyDescent="0.25">
      <c r="A14" s="9">
        <v>0.32291666666666669</v>
      </c>
      <c r="B14" s="49">
        <v>222</v>
      </c>
      <c r="C14" s="49"/>
      <c r="D14" s="49"/>
      <c r="G14" s="7">
        <f t="shared" si="3"/>
        <v>0.32291666666666669</v>
      </c>
      <c r="H14">
        <f>IF(B14&lt;&gt;0,SUMIF($G$11:$G14,"&gt;"&amp;$G14-1/24,B$11:B14),0)</f>
        <v>797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222</v>
      </c>
      <c r="Q14">
        <f t="shared" si="7"/>
        <v>222</v>
      </c>
      <c r="S14" s="9">
        <v>0.32291666666666669</v>
      </c>
      <c r="T14" s="49">
        <v>222</v>
      </c>
      <c r="U14" s="49">
        <v>222</v>
      </c>
    </row>
    <row r="15" spans="1:21" x14ac:dyDescent="0.25">
      <c r="A15" s="9">
        <v>0.33333333333333331</v>
      </c>
      <c r="B15" s="49">
        <v>281</v>
      </c>
      <c r="C15" s="49"/>
      <c r="D15" s="49"/>
      <c r="G15" s="7">
        <f t="shared" si="3"/>
        <v>0.33333333333333331</v>
      </c>
      <c r="H15">
        <f>IF(B15&lt;&gt;0,SUMIF($G$11:$G15,"&gt;"&amp;$G15-1/24,B$11:B15),0)</f>
        <v>927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281</v>
      </c>
      <c r="Q15">
        <f t="shared" si="7"/>
        <v>281</v>
      </c>
      <c r="S15" s="9">
        <v>0.33333333333333331</v>
      </c>
      <c r="T15" s="49">
        <v>281</v>
      </c>
      <c r="U15" s="49">
        <v>281</v>
      </c>
    </row>
    <row r="16" spans="1:21" x14ac:dyDescent="0.25">
      <c r="A16" s="9">
        <v>0.34375</v>
      </c>
      <c r="B16" s="49">
        <v>273</v>
      </c>
      <c r="C16" s="49"/>
      <c r="D16" s="49"/>
      <c r="G16" s="7">
        <f t="shared" si="3"/>
        <v>0.34375</v>
      </c>
      <c r="H16">
        <f>IF(B16&lt;&gt;0,SUMIF($G$11:$G16,"&gt;"&amp;$G16-1/24,B$11:B16),0)</f>
        <v>1020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273</v>
      </c>
      <c r="Q16">
        <f t="shared" si="7"/>
        <v>273</v>
      </c>
      <c r="S16" s="9">
        <v>0.34375</v>
      </c>
      <c r="T16" s="49">
        <v>273</v>
      </c>
      <c r="U16" s="49">
        <v>273</v>
      </c>
    </row>
    <row r="17" spans="1:21" x14ac:dyDescent="0.25">
      <c r="A17" s="9">
        <v>0.35416666666666669</v>
      </c>
      <c r="B17" s="49">
        <v>306</v>
      </c>
      <c r="C17" s="49"/>
      <c r="D17" s="49"/>
      <c r="G17" s="7">
        <f t="shared" si="3"/>
        <v>0.35416666666666669</v>
      </c>
      <c r="H17">
        <f>IF(B17&lt;&gt;0,SUMIF($G$11:$G17,"&gt;"&amp;$G17-1/24,B$11:B17),0)</f>
        <v>1082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306</v>
      </c>
      <c r="Q17">
        <f t="shared" si="7"/>
        <v>306</v>
      </c>
      <c r="S17" s="9">
        <v>0.35416666666666669</v>
      </c>
      <c r="T17" s="49">
        <v>306</v>
      </c>
      <c r="U17" s="49">
        <v>306</v>
      </c>
    </row>
    <row r="18" spans="1:21" x14ac:dyDescent="0.25">
      <c r="A18" s="9">
        <v>0.36458333333333331</v>
      </c>
      <c r="B18" s="49">
        <v>217</v>
      </c>
      <c r="C18" s="49"/>
      <c r="D18" s="49"/>
      <c r="G18" s="7">
        <f t="shared" si="3"/>
        <v>0.36458333333333331</v>
      </c>
      <c r="H18">
        <f>IF(B18&lt;&gt;0,SUMIF($G$11:$G18,"&gt;"&amp;$G18-1/24,B$11:B18),0)</f>
        <v>1077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217</v>
      </c>
      <c r="Q18">
        <f t="shared" si="7"/>
        <v>0</v>
      </c>
      <c r="S18" s="9">
        <v>0.36458333333333331</v>
      </c>
      <c r="T18" s="49">
        <v>217</v>
      </c>
      <c r="U18" s="49">
        <v>0</v>
      </c>
    </row>
    <row r="19" spans="1:21" x14ac:dyDescent="0.25">
      <c r="A19" s="9">
        <v>0.54166666666666663</v>
      </c>
      <c r="B19" s="49"/>
      <c r="C19" s="49">
        <v>160</v>
      </c>
      <c r="D19" s="49"/>
      <c r="G19" s="7">
        <f t="shared" si="3"/>
        <v>0.54166666666666663</v>
      </c>
      <c r="H19">
        <f>IF(B19&lt;&gt;0,SUMIF($G$11:$G19,"&gt;"&amp;$G19-1/24,B$11:B19),0)</f>
        <v>0</v>
      </c>
      <c r="I19">
        <f>IF(C19&lt;&gt;0,SUMIF($G$11:$G19,"&gt;"&amp;$G19-1/24,C$11:C19),0)</f>
        <v>160</v>
      </c>
      <c r="J19">
        <f>IF(D19&lt;&gt;0,SUMIF($G$11:$G19,"&gt;"&amp;$G19-1/24,D$11:D19),0)</f>
        <v>0</v>
      </c>
      <c r="K19">
        <f>IF(E19&lt;&gt;0,SUMIF($G$11:$G19,"&gt;"&amp;$G19-1/24,E$11:E19),0)</f>
        <v>0</v>
      </c>
      <c r="L19">
        <f t="shared" si="4"/>
        <v>1</v>
      </c>
      <c r="N19" t="str">
        <f t="shared" si="5"/>
        <v>INT</v>
      </c>
      <c r="O19" s="7">
        <f t="shared" si="2"/>
        <v>0.54166666666666663</v>
      </c>
      <c r="P19">
        <f t="shared" si="6"/>
        <v>160</v>
      </c>
      <c r="Q19">
        <f t="shared" si="7"/>
        <v>160</v>
      </c>
      <c r="S19" s="9" t="s">
        <v>49</v>
      </c>
      <c r="T19" s="49">
        <v>1874</v>
      </c>
      <c r="U19" s="49">
        <v>1082</v>
      </c>
    </row>
    <row r="20" spans="1:21" x14ac:dyDescent="0.25">
      <c r="A20" s="9">
        <v>0.55208333333333337</v>
      </c>
      <c r="B20" s="49"/>
      <c r="C20" s="49">
        <v>119</v>
      </c>
      <c r="D20" s="49"/>
      <c r="G20" s="7">
        <f t="shared" si="3"/>
        <v>0.55208333333333337</v>
      </c>
      <c r="H20">
        <f>IF(B20&lt;&gt;0,SUMIF($G$11:$G20,"&gt;"&amp;$G20-1/24,B$11:B20),0)</f>
        <v>0</v>
      </c>
      <c r="I20">
        <f>IF(C20&lt;&gt;0,SUMIF($G$11:$G20,"&gt;"&amp;$G20-1/24,C$11:C20),0)</f>
        <v>279</v>
      </c>
      <c r="J20">
        <f>IF(D20&lt;&gt;0,SUMIF($G$11:$G20,"&gt;"&amp;$G20-1/24,D$11:D20),0)</f>
        <v>0</v>
      </c>
      <c r="K20">
        <f>IF(E20&lt;&gt;0,SUMIF($G$11:$G20,"&gt;"&amp;$G20-1/24,E$11:E20),0)</f>
        <v>0</v>
      </c>
      <c r="L20">
        <f t="shared" si="4"/>
        <v>1</v>
      </c>
      <c r="N20" t="str">
        <f t="shared" si="5"/>
        <v>INT</v>
      </c>
      <c r="O20" s="7">
        <f t="shared" si="2"/>
        <v>0.55208333333333337</v>
      </c>
      <c r="P20">
        <f t="shared" si="6"/>
        <v>119</v>
      </c>
      <c r="Q20">
        <f t="shared" si="7"/>
        <v>119</v>
      </c>
    </row>
    <row r="21" spans="1:21" x14ac:dyDescent="0.25">
      <c r="A21" s="9">
        <v>0.5625</v>
      </c>
      <c r="B21" s="49"/>
      <c r="C21" s="49">
        <v>151</v>
      </c>
      <c r="D21" s="49"/>
      <c r="G21" s="7">
        <f t="shared" si="3"/>
        <v>0.5625</v>
      </c>
      <c r="H21">
        <f>IF(B21&lt;&gt;0,SUMIF($G$11:$G21,"&gt;"&amp;$G21-1/24,B$11:B21),0)</f>
        <v>0</v>
      </c>
      <c r="I21">
        <f>IF(C21&lt;&gt;0,SUMIF($G$11:$G21,"&gt;"&amp;$G21-1/24,C$11:C21),0)</f>
        <v>430</v>
      </c>
      <c r="J21">
        <f>IF(D21&lt;&gt;0,SUMIF($G$11:$G21,"&gt;"&amp;$G21-1/24,D$11:D21),0)</f>
        <v>0</v>
      </c>
      <c r="K21">
        <f>IF(E21&lt;&gt;0,SUMIF($G$11:$G21,"&gt;"&amp;$G21-1/24,E$11:E21),0)</f>
        <v>0</v>
      </c>
      <c r="L21">
        <f t="shared" si="4"/>
        <v>1</v>
      </c>
      <c r="N21" t="str">
        <f t="shared" si="5"/>
        <v>INT</v>
      </c>
      <c r="O21" s="7">
        <f t="shared" si="2"/>
        <v>0.5625</v>
      </c>
      <c r="P21">
        <f t="shared" si="6"/>
        <v>151</v>
      </c>
      <c r="Q21">
        <f t="shared" si="7"/>
        <v>151</v>
      </c>
    </row>
    <row r="22" spans="1:21" x14ac:dyDescent="0.25">
      <c r="A22" s="9">
        <v>0.57291666666666663</v>
      </c>
      <c r="B22" s="49"/>
      <c r="C22" s="49">
        <v>164</v>
      </c>
      <c r="D22" s="49"/>
      <c r="G22" s="7">
        <f t="shared" si="3"/>
        <v>0.57291666666666663</v>
      </c>
      <c r="H22">
        <f>IF(B22&lt;&gt;0,SUMIF($G$11:$G22,"&gt;"&amp;$G22-1/24,B$11:B22),0)</f>
        <v>0</v>
      </c>
      <c r="I22">
        <f>IF(C22&lt;&gt;0,SUMIF($G$11:$G22,"&gt;"&amp;$G22-1/24,C$11:C22),0)</f>
        <v>594</v>
      </c>
      <c r="J22">
        <f>IF(D22&lt;&gt;0,SUMIF($G$11:$G22,"&gt;"&amp;$G22-1/24,D$11:D22),0)</f>
        <v>0</v>
      </c>
      <c r="K22">
        <f>IF(E22&lt;&gt;0,SUMIF($G$11:$G22,"&gt;"&amp;$G22-1/24,E$11:E22),0)</f>
        <v>0</v>
      </c>
      <c r="L22">
        <f t="shared" si="4"/>
        <v>1</v>
      </c>
      <c r="N22" t="str">
        <f t="shared" si="5"/>
        <v>INT</v>
      </c>
      <c r="O22" s="7">
        <f t="shared" si="2"/>
        <v>0.57291666666666663</v>
      </c>
      <c r="P22">
        <f t="shared" si="6"/>
        <v>164</v>
      </c>
      <c r="Q22">
        <f t="shared" si="7"/>
        <v>164</v>
      </c>
    </row>
    <row r="23" spans="1:21" x14ac:dyDescent="0.25">
      <c r="A23" s="9">
        <v>0.66666666666666663</v>
      </c>
      <c r="B23" s="49"/>
      <c r="C23" s="49"/>
      <c r="D23" s="49">
        <v>230</v>
      </c>
      <c r="G23" s="7">
        <f t="shared" si="3"/>
        <v>0.66666666666666663</v>
      </c>
      <c r="H23">
        <f>IF(B23&lt;&gt;0,SUMIF($G$11:$G23,"&gt;"&amp;$G23-1/24,B$11:B23),0)</f>
        <v>0</v>
      </c>
      <c r="I23">
        <f>IF(C23&lt;&gt;0,SUMIF($G$11:$G23,"&gt;"&amp;$G23-1/24,C$11:C23),0)</f>
        <v>0</v>
      </c>
      <c r="J23">
        <f>IF(D23&lt;&gt;0,SUMIF($G$11:$G23,"&gt;"&amp;$G23-1/24,D$11:D23),0)</f>
        <v>230</v>
      </c>
      <c r="K23">
        <f>IF(E23&lt;&gt;0,SUMIF($G$11:$G23,"&gt;"&amp;$G23-1/24,E$11:E23),0)</f>
        <v>0</v>
      </c>
      <c r="L23">
        <f t="shared" si="4"/>
        <v>0</v>
      </c>
      <c r="N23" t="str">
        <f t="shared" si="5"/>
        <v>PM</v>
      </c>
      <c r="O23" s="7">
        <f t="shared" si="2"/>
        <v>0.66666666666666663</v>
      </c>
      <c r="P23">
        <f t="shared" si="6"/>
        <v>230</v>
      </c>
      <c r="Q23">
        <f t="shared" si="7"/>
        <v>0</v>
      </c>
    </row>
    <row r="24" spans="1:21" x14ac:dyDescent="0.25">
      <c r="A24" s="9">
        <v>0.67708333333333337</v>
      </c>
      <c r="B24" s="49"/>
      <c r="C24" s="49"/>
      <c r="D24" s="49">
        <v>234</v>
      </c>
      <c r="G24" s="7">
        <f t="shared" si="3"/>
        <v>0.67708333333333337</v>
      </c>
      <c r="H24">
        <f>IF(B24&lt;&gt;0,SUMIF($G$11:$G24,"&gt;"&amp;$G24-1/24,B$11:B24),0)</f>
        <v>0</v>
      </c>
      <c r="I24">
        <f>IF(C24&lt;&gt;0,SUMIF($G$11:$G24,"&gt;"&amp;$G24-1/24,C$11:C24),0)</f>
        <v>0</v>
      </c>
      <c r="J24">
        <f>IF(D24&lt;&gt;0,SUMIF($G$11:$G24,"&gt;"&amp;$G24-1/24,D$11:D24),0)</f>
        <v>464</v>
      </c>
      <c r="K24">
        <f>IF(E24&lt;&gt;0,SUMIF($G$11:$G24,"&gt;"&amp;$G24-1/24,E$11:E24),0)</f>
        <v>0</v>
      </c>
      <c r="L24">
        <f t="shared" si="4"/>
        <v>0</v>
      </c>
      <c r="N24" t="str">
        <f t="shared" si="5"/>
        <v>PM</v>
      </c>
      <c r="O24" s="7">
        <f t="shared" si="2"/>
        <v>0.67708333333333337</v>
      </c>
      <c r="P24">
        <f t="shared" si="6"/>
        <v>234</v>
      </c>
      <c r="Q24">
        <f t="shared" si="7"/>
        <v>0</v>
      </c>
    </row>
    <row r="25" spans="1:21" x14ac:dyDescent="0.25">
      <c r="A25" s="9">
        <v>0.6875</v>
      </c>
      <c r="B25" s="49"/>
      <c r="C25" s="49"/>
      <c r="D25" s="49">
        <v>295</v>
      </c>
      <c r="G25" s="7">
        <f t="shared" si="3"/>
        <v>0.6875</v>
      </c>
      <c r="H25">
        <f>IF(B25&lt;&gt;0,SUMIF($G$11:$G25,"&gt;"&amp;$G25-1/24,B$11:B25),0)</f>
        <v>0</v>
      </c>
      <c r="I25">
        <f>IF(C25&lt;&gt;0,SUMIF($G$11:$G25,"&gt;"&amp;$G25-1/24,C$11:C25),0)</f>
        <v>0</v>
      </c>
      <c r="J25">
        <f>IF(D25&lt;&gt;0,SUMIF($G$11:$G25,"&gt;"&amp;$G25-1/24,D$11:D25),0)</f>
        <v>759</v>
      </c>
      <c r="K25">
        <f>IF(E25&lt;&gt;0,SUMIF($G$11:$G25,"&gt;"&amp;$G25-1/24,E$11:E25),0)</f>
        <v>0</v>
      </c>
      <c r="L25">
        <f t="shared" si="4"/>
        <v>0</v>
      </c>
      <c r="N25" t="str">
        <f t="shared" si="5"/>
        <v>PM</v>
      </c>
      <c r="O25" s="7">
        <f t="shared" si="2"/>
        <v>0.6875</v>
      </c>
      <c r="P25">
        <f t="shared" si="6"/>
        <v>295</v>
      </c>
      <c r="Q25">
        <f t="shared" si="7"/>
        <v>0</v>
      </c>
    </row>
    <row r="26" spans="1:21" x14ac:dyDescent="0.25">
      <c r="A26" s="9">
        <v>0.69791666666666663</v>
      </c>
      <c r="B26" s="49"/>
      <c r="C26" s="49"/>
      <c r="D26" s="49">
        <v>318</v>
      </c>
      <c r="G26" s="7">
        <f t="shared" si="3"/>
        <v>0.69791666666666663</v>
      </c>
      <c r="H26">
        <f>IF(B26&lt;&gt;0,SUMIF($G$11:$G26,"&gt;"&amp;$G26-1/24,B$11:B26),0)</f>
        <v>0</v>
      </c>
      <c r="I26">
        <f>IF(C26&lt;&gt;0,SUMIF($G$11:$G26,"&gt;"&amp;$G26-1/24,C$11:C26),0)</f>
        <v>0</v>
      </c>
      <c r="J26">
        <f>IF(D26&lt;&gt;0,SUMIF($G$11:$G26,"&gt;"&amp;$G26-1/24,D$11:D26),0)</f>
        <v>1077</v>
      </c>
      <c r="K26">
        <f>IF(E26&lt;&gt;0,SUMIF($G$11:$G26,"&gt;"&amp;$G26-1/24,E$11:E26),0)</f>
        <v>0</v>
      </c>
      <c r="L26">
        <f t="shared" si="4"/>
        <v>1</v>
      </c>
      <c r="N26" t="str">
        <f t="shared" si="5"/>
        <v>PM</v>
      </c>
      <c r="O26" s="7">
        <f t="shared" si="2"/>
        <v>0.69791666666666663</v>
      </c>
      <c r="P26">
        <f t="shared" si="6"/>
        <v>318</v>
      </c>
      <c r="Q26">
        <f t="shared" si="7"/>
        <v>318</v>
      </c>
    </row>
    <row r="27" spans="1:21" x14ac:dyDescent="0.25">
      <c r="A27" s="9">
        <v>0.70833333333333337</v>
      </c>
      <c r="B27" s="49"/>
      <c r="C27" s="49"/>
      <c r="D27" s="49">
        <v>289</v>
      </c>
      <c r="G27" s="7">
        <f t="shared" ref="G27:G90" si="8">A27</f>
        <v>0.70833333333333337</v>
      </c>
      <c r="H27">
        <f>IF(B27&lt;&gt;0,SUMIF($G$11:$G27,"&gt;"&amp;$G27-1/24,B$11:B27),0)</f>
        <v>0</v>
      </c>
      <c r="I27">
        <f>IF(C27&lt;&gt;0,SUMIF($G$11:$G27,"&gt;"&amp;$G27-1/24,C$11:C27),0)</f>
        <v>0</v>
      </c>
      <c r="J27">
        <f>IF(D27&lt;&gt;0,SUMIF($G$11:$G27,"&gt;"&amp;$G27-1/24,D$11:D27),0)</f>
        <v>1136</v>
      </c>
      <c r="K27">
        <f>IF(E27&lt;&gt;0,SUMIF($G$11:$G27,"&gt;"&amp;$G27-1/24,E$11:E27),0)</f>
        <v>0</v>
      </c>
      <c r="L27">
        <f t="shared" si="4"/>
        <v>1</v>
      </c>
      <c r="N27" t="str">
        <f t="shared" si="5"/>
        <v>PM</v>
      </c>
      <c r="O27" s="7">
        <f t="shared" si="2"/>
        <v>0.70833333333333337</v>
      </c>
      <c r="P27">
        <f t="shared" si="6"/>
        <v>289</v>
      </c>
      <c r="Q27">
        <f t="shared" si="7"/>
        <v>289</v>
      </c>
    </row>
    <row r="28" spans="1:21" x14ac:dyDescent="0.25">
      <c r="A28" s="9">
        <v>0.71875</v>
      </c>
      <c r="B28" s="49"/>
      <c r="C28" s="49"/>
      <c r="D28" s="49">
        <v>283</v>
      </c>
      <c r="G28" s="7">
        <f t="shared" si="8"/>
        <v>0.71875</v>
      </c>
      <c r="H28">
        <f>IF(B28&lt;&gt;0,SUMIF($G$11:$G28,"&gt;"&amp;$G28-1/24,B$11:B28),0)</f>
        <v>0</v>
      </c>
      <c r="I28">
        <f>IF(C28&lt;&gt;0,SUMIF($G$11:$G28,"&gt;"&amp;$G28-1/24,C$11:C28),0)</f>
        <v>0</v>
      </c>
      <c r="J28">
        <f>IF(D28&lt;&gt;0,SUMIF($G$11:$G28,"&gt;"&amp;$G28-1/24,D$11:D28),0)</f>
        <v>1185</v>
      </c>
      <c r="K28">
        <f>IF(E28&lt;&gt;0,SUMIF($G$11:$G28,"&gt;"&amp;$G28-1/24,E$11:E28),0)</f>
        <v>0</v>
      </c>
      <c r="L28">
        <f t="shared" si="4"/>
        <v>1</v>
      </c>
      <c r="N28" t="str">
        <f t="shared" si="5"/>
        <v>PM</v>
      </c>
      <c r="O28" s="7">
        <f t="shared" si="2"/>
        <v>0.71875</v>
      </c>
      <c r="P28">
        <f t="shared" si="6"/>
        <v>283</v>
      </c>
      <c r="Q28">
        <f t="shared" si="7"/>
        <v>283</v>
      </c>
    </row>
    <row r="29" spans="1:21" x14ac:dyDescent="0.25">
      <c r="A29" s="9">
        <v>0.72916666666666663</v>
      </c>
      <c r="B29" s="49"/>
      <c r="C29" s="49"/>
      <c r="D29" s="49">
        <v>319</v>
      </c>
      <c r="G29" s="7">
        <f t="shared" si="8"/>
        <v>0.72916666666666663</v>
      </c>
      <c r="H29">
        <f>IF(B29&lt;&gt;0,SUMIF($G$11:$G29,"&gt;"&amp;$G29-1/24,B$11:B29),0)</f>
        <v>0</v>
      </c>
      <c r="I29">
        <f>IF(C29&lt;&gt;0,SUMIF($G$11:$G29,"&gt;"&amp;$G29-1/24,C$11:C29),0)</f>
        <v>0</v>
      </c>
      <c r="J29">
        <f>IF(D29&lt;&gt;0,SUMIF($G$11:$G29,"&gt;"&amp;$G29-1/24,D$11:D29),0)</f>
        <v>1209</v>
      </c>
      <c r="K29">
        <f>IF(E29&lt;&gt;0,SUMIF($G$11:$G29,"&gt;"&amp;$G29-1/24,E$11:E29),0)</f>
        <v>0</v>
      </c>
      <c r="L29">
        <f t="shared" si="4"/>
        <v>1</v>
      </c>
      <c r="N29" t="str">
        <f t="shared" si="5"/>
        <v>PM</v>
      </c>
      <c r="O29" s="7">
        <f t="shared" si="2"/>
        <v>0.72916666666666663</v>
      </c>
      <c r="P29">
        <f t="shared" si="6"/>
        <v>319</v>
      </c>
      <c r="Q29">
        <f t="shared" si="7"/>
        <v>319</v>
      </c>
    </row>
    <row r="30" spans="1:21" x14ac:dyDescent="0.25">
      <c r="A30" s="9">
        <v>0.73958333333333337</v>
      </c>
      <c r="B30" s="49"/>
      <c r="C30" s="49"/>
      <c r="D30" s="49">
        <v>260</v>
      </c>
      <c r="G30" s="7">
        <f t="shared" si="8"/>
        <v>0.73958333333333337</v>
      </c>
      <c r="H30">
        <f>IF(B30&lt;&gt;0,SUMIF($G$11:$G30,"&gt;"&amp;$G30-1/24,B$11:B30),0)</f>
        <v>0</v>
      </c>
      <c r="I30">
        <f>IF(C30&lt;&gt;0,SUMIF($G$11:$G30,"&gt;"&amp;$G30-1/24,C$11:C30),0)</f>
        <v>0</v>
      </c>
      <c r="J30">
        <f>IF(D30&lt;&gt;0,SUMIF($G$11:$G30,"&gt;"&amp;$G30-1/24,D$11:D30),0)</f>
        <v>1151</v>
      </c>
      <c r="K30">
        <f>IF(E30&lt;&gt;0,SUMIF($G$11:$G30,"&gt;"&amp;$G30-1/24,E$11:E30),0)</f>
        <v>0</v>
      </c>
      <c r="L30">
        <f t="shared" si="4"/>
        <v>0</v>
      </c>
      <c r="N30" t="str">
        <f t="shared" si="5"/>
        <v>PM</v>
      </c>
      <c r="O30" s="7">
        <f t="shared" si="2"/>
        <v>0.73958333333333337</v>
      </c>
      <c r="P30">
        <f t="shared" si="6"/>
        <v>260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151</v>
      </c>
      <c r="E5" t="str">
        <f>"Vehicle Count by Exit Leg for "&amp;C2&amp;" Period"</f>
        <v>Vehicle Count by Exit Leg for AM Period</v>
      </c>
    </row>
    <row r="6" spans="2:5" x14ac:dyDescent="0.25">
      <c r="B6" s="9">
        <v>0.30208333333333331</v>
      </c>
      <c r="C6" s="49">
        <v>180</v>
      </c>
    </row>
    <row r="7" spans="2:5" x14ac:dyDescent="0.25">
      <c r="B7" s="9">
        <v>0.3125</v>
      </c>
      <c r="C7" s="49">
        <v>244</v>
      </c>
    </row>
    <row r="8" spans="2:5" x14ac:dyDescent="0.25">
      <c r="B8" s="9">
        <v>0.32291666666666669</v>
      </c>
      <c r="C8" s="49">
        <v>222</v>
      </c>
    </row>
    <row r="9" spans="2:5" x14ac:dyDescent="0.25">
      <c r="B9" s="9">
        <v>0.33333333333333331</v>
      </c>
      <c r="C9" s="49">
        <v>281</v>
      </c>
    </row>
    <row r="10" spans="2:5" x14ac:dyDescent="0.25">
      <c r="B10" s="9">
        <v>0.34375</v>
      </c>
      <c r="C10" s="49">
        <v>273</v>
      </c>
    </row>
    <row r="11" spans="2:5" x14ac:dyDescent="0.25">
      <c r="B11" s="9">
        <v>0.35416666666666669</v>
      </c>
      <c r="C11" s="49">
        <v>306</v>
      </c>
    </row>
    <row r="12" spans="2:5" x14ac:dyDescent="0.25">
      <c r="B12" s="9">
        <v>0.36458333333333331</v>
      </c>
      <c r="C12" s="49">
        <v>217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140625" bestFit="1" customWidth="1"/>
    <col min="13" max="13" width="15.28515625" bestFit="1" customWidth="1"/>
    <col min="14" max="14" width="8.28515625" customWidth="1"/>
    <col min="15" max="15" width="5.5703125" customWidth="1"/>
    <col min="16" max="18" width="3.28515625" customWidth="1"/>
    <col min="19" max="19" width="11.28515625" bestFit="1" customWidth="1"/>
    <col min="20" max="20" width="2" bestFit="1" customWidth="1"/>
    <col min="21" max="22" width="20.140625" bestFit="1" customWidth="1"/>
    <col min="23" max="23" width="15.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94</v>
      </c>
      <c r="M25" s="25" t="s">
        <v>93</v>
      </c>
      <c r="T25" s="25">
        <v>0</v>
      </c>
      <c r="U25" s="25" t="s">
        <v>95</v>
      </c>
      <c r="V25" s="25" t="s">
        <v>94</v>
      </c>
      <c r="W25" s="25" t="s">
        <v>93</v>
      </c>
      <c r="X25" s="13"/>
    </row>
    <row r="26" spans="2:24" x14ac:dyDescent="0.25">
      <c r="B26" s="9">
        <v>0.29166666666666669</v>
      </c>
      <c r="C26" s="50">
        <v>151</v>
      </c>
      <c r="J26" s="9">
        <v>0.29166666666666669</v>
      </c>
      <c r="K26" s="50">
        <v>39</v>
      </c>
      <c r="L26" s="50">
        <v>87</v>
      </c>
      <c r="M26" s="50">
        <v>25</v>
      </c>
      <c r="S26" s="9">
        <v>0.29166666666666669</v>
      </c>
      <c r="T26" s="50">
        <v>0</v>
      </c>
      <c r="U26" s="50">
        <v>78</v>
      </c>
      <c r="V26" s="50">
        <v>31</v>
      </c>
      <c r="W26" s="50">
        <v>42</v>
      </c>
    </row>
    <row r="27" spans="2:24" x14ac:dyDescent="0.25">
      <c r="B27" s="9">
        <v>0.30208333333333331</v>
      </c>
      <c r="C27" s="50">
        <v>180</v>
      </c>
      <c r="J27" s="9">
        <v>0.30208333333333331</v>
      </c>
      <c r="K27" s="50">
        <v>41</v>
      </c>
      <c r="L27" s="50">
        <v>113</v>
      </c>
      <c r="M27" s="50">
        <v>26</v>
      </c>
      <c r="S27" s="9">
        <v>0.30208333333333331</v>
      </c>
      <c r="T27" s="50">
        <v>0</v>
      </c>
      <c r="U27" s="50">
        <v>94</v>
      </c>
      <c r="V27" s="50">
        <v>26</v>
      </c>
      <c r="W27" s="50">
        <v>60</v>
      </c>
    </row>
    <row r="28" spans="2:24" x14ac:dyDescent="0.25">
      <c r="B28" s="9">
        <v>0.3125</v>
      </c>
      <c r="C28" s="50">
        <v>244</v>
      </c>
      <c r="J28" s="9">
        <v>0.3125</v>
      </c>
      <c r="K28" s="50">
        <v>62</v>
      </c>
      <c r="L28" s="50">
        <v>148</v>
      </c>
      <c r="M28" s="50">
        <v>34</v>
      </c>
      <c r="S28" s="9">
        <v>0.3125</v>
      </c>
      <c r="T28" s="50">
        <v>0</v>
      </c>
      <c r="U28" s="50">
        <v>117</v>
      </c>
      <c r="V28" s="50">
        <v>41</v>
      </c>
      <c r="W28" s="50">
        <v>86</v>
      </c>
    </row>
    <row r="29" spans="2:24" x14ac:dyDescent="0.25">
      <c r="B29" s="9">
        <v>0.32291666666666669</v>
      </c>
      <c r="C29" s="50">
        <v>222</v>
      </c>
      <c r="J29" s="9">
        <v>0.32291666666666669</v>
      </c>
      <c r="K29" s="50">
        <v>65</v>
      </c>
      <c r="L29" s="50">
        <v>125</v>
      </c>
      <c r="M29" s="50">
        <v>32</v>
      </c>
      <c r="S29" s="9">
        <v>0.32291666666666669</v>
      </c>
      <c r="T29" s="50">
        <v>1</v>
      </c>
      <c r="U29" s="50">
        <v>90</v>
      </c>
      <c r="V29" s="50">
        <v>49</v>
      </c>
      <c r="W29" s="50">
        <v>82</v>
      </c>
    </row>
    <row r="30" spans="2:24" x14ac:dyDescent="0.25">
      <c r="B30" s="9">
        <v>0.33333333333333331</v>
      </c>
      <c r="C30" s="50">
        <v>281</v>
      </c>
      <c r="J30" s="9">
        <v>0.33333333333333331</v>
      </c>
      <c r="K30" s="50">
        <v>80</v>
      </c>
      <c r="L30" s="50">
        <v>160</v>
      </c>
      <c r="M30" s="50">
        <v>41</v>
      </c>
      <c r="S30" s="9">
        <v>0.33333333333333331</v>
      </c>
      <c r="T30" s="50">
        <v>0</v>
      </c>
      <c r="U30" s="50">
        <v>130</v>
      </c>
      <c r="V30" s="50">
        <v>49</v>
      </c>
      <c r="W30" s="50">
        <v>102</v>
      </c>
    </row>
    <row r="31" spans="2:24" x14ac:dyDescent="0.25">
      <c r="B31" s="9">
        <v>0.34375</v>
      </c>
      <c r="C31" s="50">
        <v>273</v>
      </c>
      <c r="J31" s="9">
        <v>0.34375</v>
      </c>
      <c r="K31" s="50">
        <v>69</v>
      </c>
      <c r="L31" s="50">
        <v>172</v>
      </c>
      <c r="M31" s="50">
        <v>32</v>
      </c>
      <c r="S31" s="9">
        <v>0.34375</v>
      </c>
      <c r="T31" s="50">
        <v>0</v>
      </c>
      <c r="U31" s="50">
        <v>128</v>
      </c>
      <c r="V31" s="50">
        <v>39</v>
      </c>
      <c r="W31" s="50">
        <v>106</v>
      </c>
    </row>
    <row r="32" spans="2:24" x14ac:dyDescent="0.25">
      <c r="B32" s="9">
        <v>0.35416666666666669</v>
      </c>
      <c r="C32" s="50">
        <v>306</v>
      </c>
      <c r="J32" s="9">
        <v>0.35416666666666669</v>
      </c>
      <c r="K32" s="50">
        <v>85</v>
      </c>
      <c r="L32" s="50">
        <v>155</v>
      </c>
      <c r="M32" s="50">
        <v>66</v>
      </c>
      <c r="S32" s="9">
        <v>0.35416666666666669</v>
      </c>
      <c r="T32" s="50">
        <v>0</v>
      </c>
      <c r="U32" s="50">
        <v>137</v>
      </c>
      <c r="V32" s="50">
        <v>62</v>
      </c>
      <c r="W32" s="50">
        <v>107</v>
      </c>
    </row>
    <row r="33" spans="2:23" x14ac:dyDescent="0.25">
      <c r="B33" s="9">
        <v>0.36458333333333331</v>
      </c>
      <c r="C33" s="50">
        <v>217</v>
      </c>
      <c r="J33" s="9">
        <v>0.36458333333333331</v>
      </c>
      <c r="K33" s="50">
        <v>77</v>
      </c>
      <c r="L33" s="50">
        <v>102</v>
      </c>
      <c r="M33" s="50">
        <v>38</v>
      </c>
      <c r="S33" s="9">
        <v>0.36458333333333331</v>
      </c>
      <c r="T33" s="50">
        <v>1</v>
      </c>
      <c r="U33" s="50">
        <v>77</v>
      </c>
      <c r="V33" s="50">
        <v>64</v>
      </c>
      <c r="W33" s="50">
        <v>75</v>
      </c>
    </row>
    <row r="34" spans="2:23" x14ac:dyDescent="0.25">
      <c r="B34" s="9" t="s">
        <v>49</v>
      </c>
      <c r="C34" s="50">
        <v>1874</v>
      </c>
      <c r="J34" s="9" t="s">
        <v>49</v>
      </c>
      <c r="K34" s="50">
        <v>518</v>
      </c>
      <c r="L34" s="50">
        <v>1062</v>
      </c>
      <c r="M34" s="50">
        <v>294</v>
      </c>
      <c r="S34" s="9" t="s">
        <v>49</v>
      </c>
      <c r="T34" s="50">
        <v>2</v>
      </c>
      <c r="U34" s="50">
        <v>851</v>
      </c>
      <c r="V34" s="50">
        <v>361</v>
      </c>
      <c r="W34" s="50">
        <v>660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5.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1082 vehicles between 07:45 and 08:45</v>
      </c>
    </row>
    <row r="5" spans="2:2" x14ac:dyDescent="0.25">
      <c r="B5" s="6" t="str">
        <f>PeakCalc!I8</f>
        <v>The peak hour for INT is 594 vehicles between 13:00 and 14:00</v>
      </c>
    </row>
    <row r="6" spans="2:2" x14ac:dyDescent="0.25">
      <c r="B6" s="6" t="str">
        <f>PeakCalc!J8</f>
        <v>The peak hour for PM is 1209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114</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154</v>
      </c>
      <c r="D32" s="49">
        <v>14</v>
      </c>
      <c r="E32" s="49">
        <v>3</v>
      </c>
      <c r="F32" s="49">
        <v>171</v>
      </c>
      <c r="G32" s="49">
        <v>315</v>
      </c>
      <c r="H32" s="49">
        <v>8</v>
      </c>
      <c r="I32" s="49">
        <v>27</v>
      </c>
      <c r="J32" s="49">
        <v>350</v>
      </c>
      <c r="K32" s="49">
        <v>146</v>
      </c>
      <c r="L32" s="49">
        <v>9</v>
      </c>
      <c r="M32" s="49">
        <v>2</v>
      </c>
      <c r="N32" s="49">
        <v>157</v>
      </c>
    </row>
    <row r="33" spans="2:14" x14ac:dyDescent="0.25">
      <c r="B33" s="14" t="s">
        <v>96</v>
      </c>
      <c r="C33" s="49">
        <v>53</v>
      </c>
      <c r="D33" s="49">
        <v>12</v>
      </c>
      <c r="E33" s="49">
        <v>1</v>
      </c>
      <c r="F33" s="49">
        <v>66</v>
      </c>
      <c r="G33" s="49">
        <v>210</v>
      </c>
      <c r="H33" s="49">
        <v>8</v>
      </c>
      <c r="I33" s="49">
        <v>26</v>
      </c>
      <c r="J33" s="49">
        <v>244</v>
      </c>
      <c r="K33" s="49">
        <v>89</v>
      </c>
      <c r="L33" s="49">
        <v>9</v>
      </c>
      <c r="M33" s="49">
        <v>2</v>
      </c>
      <c r="N33" s="49">
        <v>100</v>
      </c>
    </row>
    <row r="34" spans="2:14" x14ac:dyDescent="0.25">
      <c r="B34" s="14" t="s">
        <v>97</v>
      </c>
      <c r="C34" s="49">
        <v>101</v>
      </c>
      <c r="D34" s="49">
        <v>2</v>
      </c>
      <c r="E34" s="49">
        <v>2</v>
      </c>
      <c r="F34" s="49">
        <v>105</v>
      </c>
      <c r="G34" s="49">
        <v>105</v>
      </c>
      <c r="H34" s="49">
        <v>0</v>
      </c>
      <c r="I34" s="49">
        <v>1</v>
      </c>
      <c r="J34" s="49">
        <v>106</v>
      </c>
      <c r="K34" s="49">
        <v>57</v>
      </c>
      <c r="L34" s="49">
        <v>0</v>
      </c>
      <c r="M34" s="49">
        <v>0</v>
      </c>
      <c r="N34" s="49">
        <v>57</v>
      </c>
    </row>
    <row r="35" spans="2:14" x14ac:dyDescent="0.25">
      <c r="B35" s="10" t="s">
        <v>94</v>
      </c>
      <c r="C35" s="49">
        <v>570</v>
      </c>
      <c r="D35" s="49">
        <v>16</v>
      </c>
      <c r="E35" s="49">
        <v>26</v>
      </c>
      <c r="F35" s="49">
        <v>612</v>
      </c>
      <c r="G35" s="49">
        <v>315</v>
      </c>
      <c r="H35" s="49">
        <v>13</v>
      </c>
      <c r="I35" s="49">
        <v>8</v>
      </c>
      <c r="J35" s="49">
        <v>336</v>
      </c>
      <c r="K35" s="49">
        <v>217</v>
      </c>
      <c r="L35" s="49">
        <v>20</v>
      </c>
      <c r="M35" s="49">
        <v>8</v>
      </c>
      <c r="N35" s="49">
        <v>245</v>
      </c>
    </row>
    <row r="36" spans="2:14" x14ac:dyDescent="0.25">
      <c r="B36" s="14" t="s">
        <v>98</v>
      </c>
      <c r="C36" s="49">
        <v>361</v>
      </c>
      <c r="D36" s="49">
        <v>7</v>
      </c>
      <c r="E36" s="49">
        <v>12</v>
      </c>
      <c r="F36" s="49">
        <v>380</v>
      </c>
      <c r="G36" s="49">
        <v>232</v>
      </c>
      <c r="H36" s="49">
        <v>5</v>
      </c>
      <c r="I36" s="49">
        <v>4</v>
      </c>
      <c r="J36" s="49">
        <v>241</v>
      </c>
      <c r="K36" s="49">
        <v>157</v>
      </c>
      <c r="L36" s="49">
        <v>9</v>
      </c>
      <c r="M36" s="49">
        <v>2</v>
      </c>
      <c r="N36" s="49">
        <v>168</v>
      </c>
    </row>
    <row r="37" spans="2:14" x14ac:dyDescent="0.25">
      <c r="B37" s="14" t="s">
        <v>99</v>
      </c>
      <c r="C37" s="49">
        <v>208</v>
      </c>
      <c r="D37" s="49">
        <v>9</v>
      </c>
      <c r="E37" s="49">
        <v>14</v>
      </c>
      <c r="F37" s="49">
        <v>231</v>
      </c>
      <c r="G37" s="49">
        <v>83</v>
      </c>
      <c r="H37" s="49">
        <v>8</v>
      </c>
      <c r="I37" s="49">
        <v>4</v>
      </c>
      <c r="J37" s="49">
        <v>95</v>
      </c>
      <c r="K37" s="49">
        <v>58</v>
      </c>
      <c r="L37" s="49">
        <v>11</v>
      </c>
      <c r="M37" s="49">
        <v>6</v>
      </c>
      <c r="N37" s="49">
        <v>75</v>
      </c>
    </row>
    <row r="38" spans="2:14" x14ac:dyDescent="0.25">
      <c r="B38" s="14" t="s">
        <v>100</v>
      </c>
      <c r="C38" s="49">
        <v>1</v>
      </c>
      <c r="D38" s="49">
        <v>0</v>
      </c>
      <c r="E38" s="49">
        <v>0</v>
      </c>
      <c r="F38" s="49">
        <v>1</v>
      </c>
      <c r="G38" s="49">
        <v>0</v>
      </c>
      <c r="H38" s="49">
        <v>0</v>
      </c>
      <c r="I38" s="49">
        <v>0</v>
      </c>
      <c r="J38" s="49">
        <v>0</v>
      </c>
      <c r="K38" s="49">
        <v>2</v>
      </c>
      <c r="L38" s="49">
        <v>0</v>
      </c>
      <c r="M38" s="49">
        <v>0</v>
      </c>
      <c r="N38" s="49">
        <v>2</v>
      </c>
    </row>
    <row r="39" spans="2:14" x14ac:dyDescent="0.25">
      <c r="B39" s="10" t="s">
        <v>95</v>
      </c>
      <c r="C39" s="49">
        <v>286</v>
      </c>
      <c r="D39" s="49">
        <v>11</v>
      </c>
      <c r="E39" s="49">
        <v>2</v>
      </c>
      <c r="F39" s="49">
        <v>299</v>
      </c>
      <c r="G39" s="49">
        <v>511</v>
      </c>
      <c r="H39" s="49">
        <v>1</v>
      </c>
      <c r="I39" s="49">
        <v>11</v>
      </c>
      <c r="J39" s="49">
        <v>523</v>
      </c>
      <c r="K39" s="49">
        <v>185</v>
      </c>
      <c r="L39" s="49">
        <v>6</v>
      </c>
      <c r="M39" s="49">
        <v>1</v>
      </c>
      <c r="N39" s="49">
        <v>192</v>
      </c>
    </row>
    <row r="40" spans="2:14" x14ac:dyDescent="0.25">
      <c r="B40" s="14" t="s">
        <v>101</v>
      </c>
      <c r="C40" s="49">
        <v>162</v>
      </c>
      <c r="D40" s="49">
        <v>3</v>
      </c>
      <c r="E40" s="49">
        <v>1</v>
      </c>
      <c r="F40" s="49">
        <v>166</v>
      </c>
      <c r="G40" s="49">
        <v>225</v>
      </c>
      <c r="H40" s="49">
        <v>0</v>
      </c>
      <c r="I40" s="49">
        <v>5</v>
      </c>
      <c r="J40" s="49">
        <v>230</v>
      </c>
      <c r="K40" s="49">
        <v>65</v>
      </c>
      <c r="L40" s="49">
        <v>3</v>
      </c>
      <c r="M40" s="49">
        <v>0</v>
      </c>
      <c r="N40" s="49">
        <v>68</v>
      </c>
    </row>
    <row r="41" spans="2:14" x14ac:dyDescent="0.25">
      <c r="B41" s="14" t="s">
        <v>102</v>
      </c>
      <c r="C41" s="49">
        <v>124</v>
      </c>
      <c r="D41" s="49">
        <v>8</v>
      </c>
      <c r="E41" s="49">
        <v>1</v>
      </c>
      <c r="F41" s="49">
        <v>133</v>
      </c>
      <c r="G41" s="49">
        <v>286</v>
      </c>
      <c r="H41" s="49">
        <v>1</v>
      </c>
      <c r="I41" s="49">
        <v>6</v>
      </c>
      <c r="J41" s="49">
        <v>293</v>
      </c>
      <c r="K41" s="49">
        <v>120</v>
      </c>
      <c r="L41" s="49">
        <v>3</v>
      </c>
      <c r="M41" s="49">
        <v>1</v>
      </c>
      <c r="N41" s="49">
        <v>124</v>
      </c>
    </row>
    <row r="42" spans="2:14" x14ac:dyDescent="0.25">
      <c r="B42" s="10" t="s">
        <v>49</v>
      </c>
      <c r="C42" s="49">
        <v>1010</v>
      </c>
      <c r="D42" s="49">
        <v>41</v>
      </c>
      <c r="E42" s="49">
        <v>31</v>
      </c>
      <c r="F42" s="49">
        <v>1082</v>
      </c>
      <c r="G42" s="49">
        <v>1141</v>
      </c>
      <c r="H42" s="49">
        <v>22</v>
      </c>
      <c r="I42" s="49">
        <v>46</v>
      </c>
      <c r="J42" s="49">
        <v>1209</v>
      </c>
      <c r="K42" s="49">
        <v>548</v>
      </c>
      <c r="L42" s="49">
        <v>35</v>
      </c>
      <c r="M42" s="49">
        <v>11</v>
      </c>
      <c r="N42" s="49">
        <v>594</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0F0A-E04B-4405-938B-36A26567A99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155</v>
      </c>
      <c r="K12" s="61"/>
      <c r="L12" s="61"/>
      <c r="M12" s="61"/>
      <c r="N12" s="61"/>
      <c r="O12" s="61"/>
      <c r="P12" s="61"/>
      <c r="Q12" s="60"/>
      <c r="R12" s="62" t="s">
        <v>157</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100</v>
      </c>
      <c r="J14" s="56" t="s">
        <v>145</v>
      </c>
      <c r="K14" s="56" t="s">
        <v>144</v>
      </c>
      <c r="L14" s="56" t="s">
        <v>143</v>
      </c>
      <c r="M14" s="56" t="s">
        <v>142</v>
      </c>
      <c r="N14" s="56" t="s">
        <v>141</v>
      </c>
      <c r="O14" s="56" t="s">
        <v>140</v>
      </c>
      <c r="P14" s="56" t="s">
        <v>139</v>
      </c>
      <c r="Q14" s="56" t="s">
        <v>100</v>
      </c>
      <c r="R14" s="56" t="s">
        <v>145</v>
      </c>
      <c r="S14" s="56" t="s">
        <v>144</v>
      </c>
      <c r="T14" s="56" t="s">
        <v>143</v>
      </c>
      <c r="U14" s="56" t="s">
        <v>142</v>
      </c>
      <c r="V14" s="56" t="s">
        <v>141</v>
      </c>
      <c r="W14" s="56" t="s">
        <v>140</v>
      </c>
      <c r="X14" s="56" t="s">
        <v>139</v>
      </c>
      <c r="Y14" s="56" t="s">
        <v>100</v>
      </c>
      <c r="Z14" s="56" t="s">
        <v>145</v>
      </c>
      <c r="AA14" s="56" t="s">
        <v>144</v>
      </c>
      <c r="AB14" s="56" t="s">
        <v>143</v>
      </c>
      <c r="AC14" s="56" t="s">
        <v>142</v>
      </c>
      <c r="AD14" s="56" t="s">
        <v>141</v>
      </c>
      <c r="AE14" s="56" t="s">
        <v>140</v>
      </c>
      <c r="AF14" s="56" t="s">
        <v>139</v>
      </c>
      <c r="AG14" s="56" t="s">
        <v>100</v>
      </c>
      <c r="AH14" s="56" t="s">
        <v>145</v>
      </c>
      <c r="AI14" s="56" t="s">
        <v>144</v>
      </c>
      <c r="AJ14" s="56" t="s">
        <v>143</v>
      </c>
      <c r="AK14" s="56" t="s">
        <v>142</v>
      </c>
      <c r="AL14" s="56" t="s">
        <v>141</v>
      </c>
      <c r="AM14" s="56" t="s">
        <v>140</v>
      </c>
      <c r="AN14" s="56" t="s">
        <v>139</v>
      </c>
      <c r="AO14" s="56" t="s">
        <v>100</v>
      </c>
      <c r="AP14" s="56" t="s">
        <v>145</v>
      </c>
      <c r="AQ14" s="56" t="s">
        <v>144</v>
      </c>
      <c r="AR14" s="56" t="s">
        <v>143</v>
      </c>
      <c r="AS14" s="56" t="s">
        <v>142</v>
      </c>
      <c r="AT14" s="56" t="s">
        <v>141</v>
      </c>
      <c r="AU14" s="56" t="s">
        <v>140</v>
      </c>
      <c r="AV14" s="56" t="s">
        <v>139</v>
      </c>
      <c r="AW14" s="56" t="s">
        <v>100</v>
      </c>
      <c r="AX14" s="56" t="s">
        <v>145</v>
      </c>
      <c r="AY14" s="56" t="s">
        <v>144</v>
      </c>
      <c r="AZ14" s="56" t="s">
        <v>143</v>
      </c>
      <c r="BA14" s="56" t="s">
        <v>142</v>
      </c>
      <c r="BB14" s="56" t="s">
        <v>141</v>
      </c>
      <c r="BC14" s="56" t="s">
        <v>140</v>
      </c>
      <c r="BD14" s="56" t="s">
        <v>139</v>
      </c>
      <c r="BE14" s="56" t="s">
        <v>100</v>
      </c>
      <c r="BF14" s="56" t="s">
        <v>145</v>
      </c>
      <c r="BG14" s="56" t="s">
        <v>144</v>
      </c>
      <c r="BH14" s="56" t="s">
        <v>143</v>
      </c>
      <c r="BI14" s="56" t="s">
        <v>142</v>
      </c>
      <c r="BJ14" s="56" t="s">
        <v>141</v>
      </c>
      <c r="BK14" s="56" t="s">
        <v>140</v>
      </c>
      <c r="BL14" s="56" t="s">
        <v>139</v>
      </c>
      <c r="BM14" s="56" t="s">
        <v>100</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v>3</v>
      </c>
      <c r="S15" s="55" t="s">
        <v>115</v>
      </c>
      <c r="T15" s="55" t="s">
        <v>115</v>
      </c>
      <c r="U15" s="55" t="s">
        <v>115</v>
      </c>
      <c r="V15" s="55">
        <v>18</v>
      </c>
      <c r="W15" s="55" t="s">
        <v>115</v>
      </c>
      <c r="X15" s="55" t="s">
        <v>115</v>
      </c>
      <c r="Y15" s="55">
        <v>0</v>
      </c>
      <c r="Z15" s="55" t="s">
        <v>115</v>
      </c>
      <c r="AA15" s="55" t="s">
        <v>115</v>
      </c>
      <c r="AB15" s="55" t="s">
        <v>115</v>
      </c>
      <c r="AC15" s="55">
        <v>57</v>
      </c>
      <c r="AD15" s="55" t="s">
        <v>115</v>
      </c>
      <c r="AE15" s="55" t="s">
        <v>115</v>
      </c>
      <c r="AF15" s="55">
        <v>22</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v>15</v>
      </c>
      <c r="BI15" s="55">
        <v>21</v>
      </c>
      <c r="BJ15" s="55" t="s">
        <v>115</v>
      </c>
      <c r="BK15" s="55" t="s">
        <v>115</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v>3</v>
      </c>
      <c r="S16" s="55" t="s">
        <v>115</v>
      </c>
      <c r="T16" s="55" t="s">
        <v>115</v>
      </c>
      <c r="U16" s="55" t="s">
        <v>115</v>
      </c>
      <c r="V16" s="55">
        <v>20</v>
      </c>
      <c r="W16" s="55" t="s">
        <v>115</v>
      </c>
      <c r="X16" s="55" t="s">
        <v>115</v>
      </c>
      <c r="Y16" s="55">
        <v>0</v>
      </c>
      <c r="Z16" s="55" t="s">
        <v>115</v>
      </c>
      <c r="AA16" s="55" t="s">
        <v>115</v>
      </c>
      <c r="AB16" s="55" t="s">
        <v>115</v>
      </c>
      <c r="AC16" s="55">
        <v>71</v>
      </c>
      <c r="AD16" s="55" t="s">
        <v>115</v>
      </c>
      <c r="AE16" s="55" t="s">
        <v>115</v>
      </c>
      <c r="AF16" s="55">
        <v>38</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v>19</v>
      </c>
      <c r="BI16" s="55">
        <v>21</v>
      </c>
      <c r="BJ16" s="55" t="s">
        <v>115</v>
      </c>
      <c r="BK16" s="55" t="s">
        <v>115</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v>5</v>
      </c>
      <c r="S17" s="55" t="s">
        <v>115</v>
      </c>
      <c r="T17" s="55" t="s">
        <v>115</v>
      </c>
      <c r="U17" s="55" t="s">
        <v>115</v>
      </c>
      <c r="V17" s="55">
        <v>24</v>
      </c>
      <c r="W17" s="55" t="s">
        <v>115</v>
      </c>
      <c r="X17" s="55" t="s">
        <v>115</v>
      </c>
      <c r="Y17" s="55">
        <v>0</v>
      </c>
      <c r="Z17" s="55" t="s">
        <v>115</v>
      </c>
      <c r="AA17" s="55" t="s">
        <v>115</v>
      </c>
      <c r="AB17" s="55" t="s">
        <v>115</v>
      </c>
      <c r="AC17" s="55">
        <v>89</v>
      </c>
      <c r="AD17" s="55" t="s">
        <v>115</v>
      </c>
      <c r="AE17" s="55" t="s">
        <v>115</v>
      </c>
      <c r="AF17" s="55">
        <v>45</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v>30</v>
      </c>
      <c r="BI17" s="55">
        <v>32</v>
      </c>
      <c r="BJ17" s="55" t="s">
        <v>115</v>
      </c>
      <c r="BK17" s="55" t="s">
        <v>115</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v>14</v>
      </c>
      <c r="S18" s="55" t="s">
        <v>115</v>
      </c>
      <c r="T18" s="55" t="s">
        <v>115</v>
      </c>
      <c r="U18" s="55" t="s">
        <v>115</v>
      </c>
      <c r="V18" s="55">
        <v>13</v>
      </c>
      <c r="W18" s="55" t="s">
        <v>115</v>
      </c>
      <c r="X18" s="55" t="s">
        <v>115</v>
      </c>
      <c r="Y18" s="55">
        <v>0</v>
      </c>
      <c r="Z18" s="55" t="s">
        <v>115</v>
      </c>
      <c r="AA18" s="55" t="s">
        <v>115</v>
      </c>
      <c r="AB18" s="55" t="s">
        <v>115</v>
      </c>
      <c r="AC18" s="55">
        <v>74</v>
      </c>
      <c r="AD18" s="55" t="s">
        <v>115</v>
      </c>
      <c r="AE18" s="55" t="s">
        <v>115</v>
      </c>
      <c r="AF18" s="55">
        <v>44</v>
      </c>
      <c r="AG18" s="55">
        <v>1</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v>31</v>
      </c>
      <c r="BI18" s="55">
        <v>31</v>
      </c>
      <c r="BJ18" s="55" t="s">
        <v>115</v>
      </c>
      <c r="BK18" s="55" t="s">
        <v>115</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v>9</v>
      </c>
      <c r="S19" s="55" t="s">
        <v>115</v>
      </c>
      <c r="T19" s="55" t="s">
        <v>115</v>
      </c>
      <c r="U19" s="55" t="s">
        <v>115</v>
      </c>
      <c r="V19" s="55">
        <v>28</v>
      </c>
      <c r="W19" s="55" t="s">
        <v>115</v>
      </c>
      <c r="X19" s="55" t="s">
        <v>115</v>
      </c>
      <c r="Y19" s="55">
        <v>0</v>
      </c>
      <c r="Z19" s="55" t="s">
        <v>115</v>
      </c>
      <c r="AA19" s="55" t="s">
        <v>115</v>
      </c>
      <c r="AB19" s="55" t="s">
        <v>115</v>
      </c>
      <c r="AC19" s="55">
        <v>95</v>
      </c>
      <c r="AD19" s="55" t="s">
        <v>115</v>
      </c>
      <c r="AE19" s="55" t="s">
        <v>115</v>
      </c>
      <c r="AF19" s="55">
        <v>49</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v>42</v>
      </c>
      <c r="BI19" s="55">
        <v>35</v>
      </c>
      <c r="BJ19" s="55" t="s">
        <v>115</v>
      </c>
      <c r="BK19" s="55" t="s">
        <v>115</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v>11</v>
      </c>
      <c r="S20" s="55" t="s">
        <v>115</v>
      </c>
      <c r="T20" s="55" t="s">
        <v>115</v>
      </c>
      <c r="U20" s="55" t="s">
        <v>115</v>
      </c>
      <c r="V20" s="55">
        <v>20</v>
      </c>
      <c r="W20" s="55" t="s">
        <v>115</v>
      </c>
      <c r="X20" s="55" t="s">
        <v>115</v>
      </c>
      <c r="Y20" s="55">
        <v>0</v>
      </c>
      <c r="Z20" s="55" t="s">
        <v>115</v>
      </c>
      <c r="AA20" s="55" t="s">
        <v>115</v>
      </c>
      <c r="AB20" s="55" t="s">
        <v>115</v>
      </c>
      <c r="AC20" s="55">
        <v>100</v>
      </c>
      <c r="AD20" s="55" t="s">
        <v>115</v>
      </c>
      <c r="AE20" s="55" t="s">
        <v>115</v>
      </c>
      <c r="AF20" s="55">
        <v>59</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v>41</v>
      </c>
      <c r="BI20" s="55">
        <v>26</v>
      </c>
      <c r="BJ20" s="55" t="s">
        <v>115</v>
      </c>
      <c r="BK20" s="55" t="s">
        <v>115</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v>19</v>
      </c>
      <c r="S21" s="55" t="s">
        <v>115</v>
      </c>
      <c r="T21" s="55" t="s">
        <v>115</v>
      </c>
      <c r="U21" s="55" t="s">
        <v>115</v>
      </c>
      <c r="V21" s="55">
        <v>40</v>
      </c>
      <c r="W21" s="55" t="s">
        <v>115</v>
      </c>
      <c r="X21" s="55" t="s">
        <v>115</v>
      </c>
      <c r="Y21" s="55">
        <v>0</v>
      </c>
      <c r="Z21" s="55" t="s">
        <v>115</v>
      </c>
      <c r="AA21" s="55" t="s">
        <v>115</v>
      </c>
      <c r="AB21" s="55" t="s">
        <v>115</v>
      </c>
      <c r="AC21" s="55">
        <v>92</v>
      </c>
      <c r="AD21" s="55" t="s">
        <v>115</v>
      </c>
      <c r="AE21" s="55" t="s">
        <v>115</v>
      </c>
      <c r="AF21" s="55">
        <v>56</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v>48</v>
      </c>
      <c r="BI21" s="55">
        <v>32</v>
      </c>
      <c r="BJ21" s="55" t="s">
        <v>115</v>
      </c>
      <c r="BK21" s="55" t="s">
        <v>115</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v>19</v>
      </c>
      <c r="S22" s="55" t="s">
        <v>115</v>
      </c>
      <c r="T22" s="55" t="s">
        <v>115</v>
      </c>
      <c r="U22" s="55" t="s">
        <v>115</v>
      </c>
      <c r="V22" s="55">
        <v>16</v>
      </c>
      <c r="W22" s="55" t="s">
        <v>115</v>
      </c>
      <c r="X22" s="55" t="s">
        <v>115</v>
      </c>
      <c r="Y22" s="55">
        <v>0</v>
      </c>
      <c r="Z22" s="55" t="s">
        <v>115</v>
      </c>
      <c r="AA22" s="55" t="s">
        <v>115</v>
      </c>
      <c r="AB22" s="55" t="s">
        <v>115</v>
      </c>
      <c r="AC22" s="55">
        <v>60</v>
      </c>
      <c r="AD22" s="55" t="s">
        <v>115</v>
      </c>
      <c r="AE22" s="55" t="s">
        <v>115</v>
      </c>
      <c r="AF22" s="55">
        <v>37</v>
      </c>
      <c r="AG22" s="55">
        <v>1</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v>35</v>
      </c>
      <c r="BI22" s="55">
        <v>39</v>
      </c>
      <c r="BJ22" s="55" t="s">
        <v>115</v>
      </c>
      <c r="BK22" s="55" t="s">
        <v>115</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v>0</v>
      </c>
      <c r="S23" s="55" t="s">
        <v>115</v>
      </c>
      <c r="T23" s="55" t="s">
        <v>115</v>
      </c>
      <c r="U23" s="55" t="s">
        <v>115</v>
      </c>
      <c r="V23" s="55">
        <v>0</v>
      </c>
      <c r="W23" s="55" t="s">
        <v>115</v>
      </c>
      <c r="X23" s="55" t="s">
        <v>115</v>
      </c>
      <c r="Y23" s="55">
        <v>0</v>
      </c>
      <c r="Z23" s="55" t="s">
        <v>115</v>
      </c>
      <c r="AA23" s="55" t="s">
        <v>115</v>
      </c>
      <c r="AB23" s="55" t="s">
        <v>115</v>
      </c>
      <c r="AC23" s="55">
        <v>0</v>
      </c>
      <c r="AD23" s="55" t="s">
        <v>115</v>
      </c>
      <c r="AE23" s="55" t="s">
        <v>115</v>
      </c>
      <c r="AF23" s="55">
        <v>0</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v>0</v>
      </c>
      <c r="BI23" s="55">
        <v>0</v>
      </c>
      <c r="BJ23" s="55" t="s">
        <v>115</v>
      </c>
      <c r="BK23" s="55" t="s">
        <v>115</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v>23</v>
      </c>
      <c r="S24" s="55" t="s">
        <v>115</v>
      </c>
      <c r="T24" s="55" t="s">
        <v>115</v>
      </c>
      <c r="U24" s="55" t="s">
        <v>115</v>
      </c>
      <c r="V24" s="55">
        <v>18</v>
      </c>
      <c r="W24" s="55" t="s">
        <v>115</v>
      </c>
      <c r="X24" s="55" t="s">
        <v>115</v>
      </c>
      <c r="Y24" s="55">
        <v>0</v>
      </c>
      <c r="Z24" s="55" t="s">
        <v>115</v>
      </c>
      <c r="AA24" s="55" t="s">
        <v>115</v>
      </c>
      <c r="AB24" s="55" t="s">
        <v>115</v>
      </c>
      <c r="AC24" s="55">
        <v>45</v>
      </c>
      <c r="AD24" s="55" t="s">
        <v>115</v>
      </c>
      <c r="AE24" s="55" t="s">
        <v>115</v>
      </c>
      <c r="AF24" s="55">
        <v>9</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v>14</v>
      </c>
      <c r="BI24" s="55">
        <v>36</v>
      </c>
      <c r="BJ24" s="55" t="s">
        <v>115</v>
      </c>
      <c r="BK24" s="55" t="s">
        <v>115</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v>21</v>
      </c>
      <c r="S25" s="55" t="s">
        <v>115</v>
      </c>
      <c r="T25" s="55" t="s">
        <v>115</v>
      </c>
      <c r="U25" s="55" t="s">
        <v>115</v>
      </c>
      <c r="V25" s="55">
        <v>12</v>
      </c>
      <c r="W25" s="55" t="s">
        <v>115</v>
      </c>
      <c r="X25" s="55" t="s">
        <v>115</v>
      </c>
      <c r="Y25" s="55">
        <v>0</v>
      </c>
      <c r="Z25" s="55" t="s">
        <v>115</v>
      </c>
      <c r="AA25" s="55" t="s">
        <v>115</v>
      </c>
      <c r="AB25" s="55" t="s">
        <v>115</v>
      </c>
      <c r="AC25" s="55">
        <v>26</v>
      </c>
      <c r="AD25" s="55" t="s">
        <v>115</v>
      </c>
      <c r="AE25" s="55" t="s">
        <v>115</v>
      </c>
      <c r="AF25" s="55">
        <v>10</v>
      </c>
      <c r="AG25" s="55">
        <v>2</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v>11</v>
      </c>
      <c r="BI25" s="55">
        <v>28</v>
      </c>
      <c r="BJ25" s="55" t="s">
        <v>115</v>
      </c>
      <c r="BK25" s="55" t="s">
        <v>115</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v>20</v>
      </c>
      <c r="S26" s="55" t="s">
        <v>115</v>
      </c>
      <c r="T26" s="55" t="s">
        <v>115</v>
      </c>
      <c r="U26" s="55" t="s">
        <v>115</v>
      </c>
      <c r="V26" s="55">
        <v>12</v>
      </c>
      <c r="W26" s="55" t="s">
        <v>115</v>
      </c>
      <c r="X26" s="55" t="s">
        <v>115</v>
      </c>
      <c r="Y26" s="55">
        <v>0</v>
      </c>
      <c r="Z26" s="55" t="s">
        <v>115</v>
      </c>
      <c r="AA26" s="55" t="s">
        <v>115</v>
      </c>
      <c r="AB26" s="55" t="s">
        <v>115</v>
      </c>
      <c r="AC26" s="55">
        <v>43</v>
      </c>
      <c r="AD26" s="55" t="s">
        <v>115</v>
      </c>
      <c r="AE26" s="55" t="s">
        <v>115</v>
      </c>
      <c r="AF26" s="55">
        <v>21</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v>18</v>
      </c>
      <c r="BI26" s="55">
        <v>27</v>
      </c>
      <c r="BJ26" s="55" t="s">
        <v>115</v>
      </c>
      <c r="BK26" s="55" t="s">
        <v>115</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v>25</v>
      </c>
      <c r="S27" s="55" t="s">
        <v>115</v>
      </c>
      <c r="T27" s="55" t="s">
        <v>115</v>
      </c>
      <c r="U27" s="55" t="s">
        <v>115</v>
      </c>
      <c r="V27" s="55">
        <v>15</v>
      </c>
      <c r="W27" s="55" t="s">
        <v>115</v>
      </c>
      <c r="X27" s="55" t="s">
        <v>115</v>
      </c>
      <c r="Y27" s="55">
        <v>0</v>
      </c>
      <c r="Z27" s="55" t="s">
        <v>115</v>
      </c>
      <c r="AA27" s="55" t="s">
        <v>115</v>
      </c>
      <c r="AB27" s="55" t="s">
        <v>115</v>
      </c>
      <c r="AC27" s="55">
        <v>43</v>
      </c>
      <c r="AD27" s="55" t="s">
        <v>115</v>
      </c>
      <c r="AE27" s="55" t="s">
        <v>115</v>
      </c>
      <c r="AF27" s="55">
        <v>18</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v>22</v>
      </c>
      <c r="BI27" s="55">
        <v>29</v>
      </c>
      <c r="BJ27" s="55" t="s">
        <v>115</v>
      </c>
      <c r="BK27" s="55" t="s">
        <v>115</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v>0</v>
      </c>
      <c r="S28" s="55" t="s">
        <v>115</v>
      </c>
      <c r="T28" s="55" t="s">
        <v>115</v>
      </c>
      <c r="U28" s="55" t="s">
        <v>115</v>
      </c>
      <c r="V28" s="55">
        <v>0</v>
      </c>
      <c r="W28" s="55" t="s">
        <v>115</v>
      </c>
      <c r="X28" s="55" t="s">
        <v>115</v>
      </c>
      <c r="Y28" s="55">
        <v>0</v>
      </c>
      <c r="Z28" s="55" t="s">
        <v>115</v>
      </c>
      <c r="AA28" s="55" t="s">
        <v>115</v>
      </c>
      <c r="AB28" s="55" t="s">
        <v>115</v>
      </c>
      <c r="AC28" s="55">
        <v>0</v>
      </c>
      <c r="AD28" s="55" t="s">
        <v>115</v>
      </c>
      <c r="AE28" s="55" t="s">
        <v>115</v>
      </c>
      <c r="AF28" s="55">
        <v>0</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v>0</v>
      </c>
      <c r="BI28" s="55">
        <v>0</v>
      </c>
      <c r="BJ28" s="55" t="s">
        <v>115</v>
      </c>
      <c r="BK28" s="55" t="s">
        <v>115</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v>37</v>
      </c>
      <c r="S29" s="55" t="s">
        <v>115</v>
      </c>
      <c r="T29" s="55" t="s">
        <v>115</v>
      </c>
      <c r="U29" s="55" t="s">
        <v>115</v>
      </c>
      <c r="V29" s="55">
        <v>23</v>
      </c>
      <c r="W29" s="55" t="s">
        <v>115</v>
      </c>
      <c r="X29" s="55" t="s">
        <v>115</v>
      </c>
      <c r="Y29" s="55">
        <v>0</v>
      </c>
      <c r="Z29" s="55" t="s">
        <v>115</v>
      </c>
      <c r="AA29" s="55" t="s">
        <v>115</v>
      </c>
      <c r="AB29" s="55" t="s">
        <v>115</v>
      </c>
      <c r="AC29" s="55">
        <v>45</v>
      </c>
      <c r="AD29" s="55" t="s">
        <v>115</v>
      </c>
      <c r="AE29" s="55" t="s">
        <v>115</v>
      </c>
      <c r="AF29" s="55">
        <v>20</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v>36</v>
      </c>
      <c r="BI29" s="55">
        <v>56</v>
      </c>
      <c r="BJ29" s="55" t="s">
        <v>115</v>
      </c>
      <c r="BK29" s="55" t="s">
        <v>115</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v>31</v>
      </c>
      <c r="S30" s="55" t="s">
        <v>115</v>
      </c>
      <c r="T30" s="55" t="s">
        <v>115</v>
      </c>
      <c r="U30" s="55" t="s">
        <v>115</v>
      </c>
      <c r="V30" s="55">
        <v>18</v>
      </c>
      <c r="W30" s="55" t="s">
        <v>115</v>
      </c>
      <c r="X30" s="55" t="s">
        <v>115</v>
      </c>
      <c r="Y30" s="55">
        <v>0</v>
      </c>
      <c r="Z30" s="55" t="s">
        <v>115</v>
      </c>
      <c r="AA30" s="55" t="s">
        <v>115</v>
      </c>
      <c r="AB30" s="55" t="s">
        <v>115</v>
      </c>
      <c r="AC30" s="55">
        <v>50</v>
      </c>
      <c r="AD30" s="55" t="s">
        <v>115</v>
      </c>
      <c r="AE30" s="55" t="s">
        <v>115</v>
      </c>
      <c r="AF30" s="55">
        <v>30</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v>37</v>
      </c>
      <c r="BI30" s="55">
        <v>54</v>
      </c>
      <c r="BJ30" s="55" t="s">
        <v>115</v>
      </c>
      <c r="BK30" s="55" t="s">
        <v>115</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v>55</v>
      </c>
      <c r="S31" s="55" t="s">
        <v>115</v>
      </c>
      <c r="T31" s="55" t="s">
        <v>115</v>
      </c>
      <c r="U31" s="55" t="s">
        <v>115</v>
      </c>
      <c r="V31" s="55">
        <v>35</v>
      </c>
      <c r="W31" s="55" t="s">
        <v>115</v>
      </c>
      <c r="X31" s="55" t="s">
        <v>115</v>
      </c>
      <c r="Y31" s="55">
        <v>0</v>
      </c>
      <c r="Z31" s="55" t="s">
        <v>115</v>
      </c>
      <c r="AA31" s="55" t="s">
        <v>115</v>
      </c>
      <c r="AB31" s="55" t="s">
        <v>115</v>
      </c>
      <c r="AC31" s="55">
        <v>61</v>
      </c>
      <c r="AD31" s="55" t="s">
        <v>115</v>
      </c>
      <c r="AE31" s="55" t="s">
        <v>115</v>
      </c>
      <c r="AF31" s="55">
        <v>26</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v>37</v>
      </c>
      <c r="BI31" s="55">
        <v>67</v>
      </c>
      <c r="BJ31" s="55" t="s">
        <v>115</v>
      </c>
      <c r="BK31" s="55" t="s">
        <v>115</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v>51</v>
      </c>
      <c r="S32" s="55" t="s">
        <v>115</v>
      </c>
      <c r="T32" s="55" t="s">
        <v>115</v>
      </c>
      <c r="U32" s="55" t="s">
        <v>115</v>
      </c>
      <c r="V32" s="55">
        <v>27</v>
      </c>
      <c r="W32" s="55" t="s">
        <v>115</v>
      </c>
      <c r="X32" s="55" t="s">
        <v>115</v>
      </c>
      <c r="Y32" s="55">
        <v>0</v>
      </c>
      <c r="Z32" s="55" t="s">
        <v>115</v>
      </c>
      <c r="AA32" s="55" t="s">
        <v>115</v>
      </c>
      <c r="AB32" s="55" t="s">
        <v>115</v>
      </c>
      <c r="AC32" s="55">
        <v>55</v>
      </c>
      <c r="AD32" s="55" t="s">
        <v>115</v>
      </c>
      <c r="AE32" s="55" t="s">
        <v>115</v>
      </c>
      <c r="AF32" s="55">
        <v>24</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v>64</v>
      </c>
      <c r="BI32" s="55">
        <v>83</v>
      </c>
      <c r="BJ32" s="55" t="s">
        <v>115</v>
      </c>
      <c r="BK32" s="55" t="s">
        <v>115</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v>46</v>
      </c>
      <c r="S33" s="55" t="s">
        <v>115</v>
      </c>
      <c r="T33" s="55" t="s">
        <v>115</v>
      </c>
      <c r="U33" s="55" t="s">
        <v>115</v>
      </c>
      <c r="V33" s="55">
        <v>25</v>
      </c>
      <c r="W33" s="55" t="s">
        <v>115</v>
      </c>
      <c r="X33" s="55" t="s">
        <v>115</v>
      </c>
      <c r="Y33" s="55">
        <v>0</v>
      </c>
      <c r="Z33" s="55" t="s">
        <v>115</v>
      </c>
      <c r="AA33" s="55" t="s">
        <v>115</v>
      </c>
      <c r="AB33" s="55" t="s">
        <v>115</v>
      </c>
      <c r="AC33" s="55">
        <v>59</v>
      </c>
      <c r="AD33" s="55" t="s">
        <v>115</v>
      </c>
      <c r="AE33" s="55" t="s">
        <v>115</v>
      </c>
      <c r="AF33" s="55">
        <v>21</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v>63</v>
      </c>
      <c r="BI33" s="55">
        <v>54</v>
      </c>
      <c r="BJ33" s="55" t="s">
        <v>115</v>
      </c>
      <c r="BK33" s="55" t="s">
        <v>115</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v>54</v>
      </c>
      <c r="S34" s="55" t="s">
        <v>115</v>
      </c>
      <c r="T34" s="55" t="s">
        <v>115</v>
      </c>
      <c r="U34" s="55" t="s">
        <v>115</v>
      </c>
      <c r="V34" s="55">
        <v>28</v>
      </c>
      <c r="W34" s="55" t="s">
        <v>115</v>
      </c>
      <c r="X34" s="55" t="s">
        <v>115</v>
      </c>
      <c r="Y34" s="55">
        <v>0</v>
      </c>
      <c r="Z34" s="55" t="s">
        <v>115</v>
      </c>
      <c r="AA34" s="55" t="s">
        <v>115</v>
      </c>
      <c r="AB34" s="55" t="s">
        <v>115</v>
      </c>
      <c r="AC34" s="55">
        <v>64</v>
      </c>
      <c r="AD34" s="55" t="s">
        <v>115</v>
      </c>
      <c r="AE34" s="55" t="s">
        <v>115</v>
      </c>
      <c r="AF34" s="55">
        <v>18</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v>39</v>
      </c>
      <c r="BI34" s="55">
        <v>64</v>
      </c>
      <c r="BJ34" s="55" t="s">
        <v>115</v>
      </c>
      <c r="BK34" s="55" t="s">
        <v>115</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v>59</v>
      </c>
      <c r="S35" s="55" t="s">
        <v>115</v>
      </c>
      <c r="T35" s="55" t="s">
        <v>115</v>
      </c>
      <c r="U35" s="55" t="s">
        <v>115</v>
      </c>
      <c r="V35" s="55">
        <v>25</v>
      </c>
      <c r="W35" s="55" t="s">
        <v>115</v>
      </c>
      <c r="X35" s="55" t="s">
        <v>115</v>
      </c>
      <c r="Y35" s="55">
        <v>0</v>
      </c>
      <c r="Z35" s="55" t="s">
        <v>115</v>
      </c>
      <c r="AA35" s="55" t="s">
        <v>115</v>
      </c>
      <c r="AB35" s="55" t="s">
        <v>115</v>
      </c>
      <c r="AC35" s="55">
        <v>54</v>
      </c>
      <c r="AD35" s="55" t="s">
        <v>115</v>
      </c>
      <c r="AE35" s="55" t="s">
        <v>115</v>
      </c>
      <c r="AF35" s="55">
        <v>20</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v>59</v>
      </c>
      <c r="BI35" s="55">
        <v>85</v>
      </c>
      <c r="BJ35" s="55" t="s">
        <v>115</v>
      </c>
      <c r="BK35" s="55" t="s">
        <v>115</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v>62</v>
      </c>
      <c r="S36" s="55" t="s">
        <v>115</v>
      </c>
      <c r="T36" s="55" t="s">
        <v>115</v>
      </c>
      <c r="U36" s="55" t="s">
        <v>115</v>
      </c>
      <c r="V36" s="55">
        <v>19</v>
      </c>
      <c r="W36" s="55" t="s">
        <v>115</v>
      </c>
      <c r="X36" s="55" t="s">
        <v>115</v>
      </c>
      <c r="Y36" s="55">
        <v>0</v>
      </c>
      <c r="Z36" s="55" t="s">
        <v>115</v>
      </c>
      <c r="AA36" s="55" t="s">
        <v>115</v>
      </c>
      <c r="AB36" s="55" t="s">
        <v>115</v>
      </c>
      <c r="AC36" s="55">
        <v>58</v>
      </c>
      <c r="AD36" s="55" t="s">
        <v>115</v>
      </c>
      <c r="AE36" s="55" t="s">
        <v>115</v>
      </c>
      <c r="AF36" s="55">
        <v>19</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v>26</v>
      </c>
      <c r="BI36" s="55">
        <v>62</v>
      </c>
      <c r="BJ36" s="55" t="s">
        <v>115</v>
      </c>
      <c r="BK36" s="55" t="s">
        <v>115</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v>0</v>
      </c>
      <c r="S37" s="55" t="s">
        <v>115</v>
      </c>
      <c r="T37" s="55" t="s">
        <v>115</v>
      </c>
      <c r="U37" s="55" t="s">
        <v>115</v>
      </c>
      <c r="V37" s="55">
        <v>0</v>
      </c>
      <c r="W37" s="55" t="s">
        <v>115</v>
      </c>
      <c r="X37" s="55" t="s">
        <v>115</v>
      </c>
      <c r="Y37" s="55">
        <v>0</v>
      </c>
      <c r="Z37" s="55" t="s">
        <v>115</v>
      </c>
      <c r="AA37" s="55" t="s">
        <v>115</v>
      </c>
      <c r="AB37" s="55" t="s">
        <v>115</v>
      </c>
      <c r="AC37" s="55">
        <v>0</v>
      </c>
      <c r="AD37" s="55" t="s">
        <v>115</v>
      </c>
      <c r="AE37" s="55" t="s">
        <v>115</v>
      </c>
      <c r="AF37" s="55">
        <v>0</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v>1</v>
      </c>
      <c r="BI37" s="55">
        <v>0</v>
      </c>
      <c r="BJ37" s="55" t="s">
        <v>115</v>
      </c>
      <c r="BK37" s="55" t="s">
        <v>115</v>
      </c>
      <c r="BL37" s="55" t="s">
        <v>115</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2BF11-16EE-4B35-945A-1C9ACAF3673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155</v>
      </c>
      <c r="K12" s="61"/>
      <c r="L12" s="61"/>
      <c r="M12" s="61"/>
      <c r="N12" s="61"/>
      <c r="O12" s="61"/>
      <c r="P12" s="61"/>
      <c r="Q12" s="60"/>
      <c r="R12" s="62" t="s">
        <v>157</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100</v>
      </c>
      <c r="J14" s="56" t="s">
        <v>145</v>
      </c>
      <c r="K14" s="56" t="s">
        <v>144</v>
      </c>
      <c r="L14" s="56" t="s">
        <v>143</v>
      </c>
      <c r="M14" s="56" t="s">
        <v>142</v>
      </c>
      <c r="N14" s="56" t="s">
        <v>141</v>
      </c>
      <c r="O14" s="56" t="s">
        <v>140</v>
      </c>
      <c r="P14" s="56" t="s">
        <v>139</v>
      </c>
      <c r="Q14" s="56" t="s">
        <v>100</v>
      </c>
      <c r="R14" s="56" t="s">
        <v>145</v>
      </c>
      <c r="S14" s="56" t="s">
        <v>144</v>
      </c>
      <c r="T14" s="56" t="s">
        <v>143</v>
      </c>
      <c r="U14" s="56" t="s">
        <v>142</v>
      </c>
      <c r="V14" s="56" t="s">
        <v>141</v>
      </c>
      <c r="W14" s="56" t="s">
        <v>140</v>
      </c>
      <c r="X14" s="56" t="s">
        <v>139</v>
      </c>
      <c r="Y14" s="56" t="s">
        <v>100</v>
      </c>
      <c r="Z14" s="56" t="s">
        <v>145</v>
      </c>
      <c r="AA14" s="56" t="s">
        <v>144</v>
      </c>
      <c r="AB14" s="56" t="s">
        <v>143</v>
      </c>
      <c r="AC14" s="56" t="s">
        <v>142</v>
      </c>
      <c r="AD14" s="56" t="s">
        <v>141</v>
      </c>
      <c r="AE14" s="56" t="s">
        <v>140</v>
      </c>
      <c r="AF14" s="56" t="s">
        <v>139</v>
      </c>
      <c r="AG14" s="56" t="s">
        <v>100</v>
      </c>
      <c r="AH14" s="56" t="s">
        <v>145</v>
      </c>
      <c r="AI14" s="56" t="s">
        <v>144</v>
      </c>
      <c r="AJ14" s="56" t="s">
        <v>143</v>
      </c>
      <c r="AK14" s="56" t="s">
        <v>142</v>
      </c>
      <c r="AL14" s="56" t="s">
        <v>141</v>
      </c>
      <c r="AM14" s="56" t="s">
        <v>140</v>
      </c>
      <c r="AN14" s="56" t="s">
        <v>139</v>
      </c>
      <c r="AO14" s="56" t="s">
        <v>100</v>
      </c>
      <c r="AP14" s="56" t="s">
        <v>145</v>
      </c>
      <c r="AQ14" s="56" t="s">
        <v>144</v>
      </c>
      <c r="AR14" s="56" t="s">
        <v>143</v>
      </c>
      <c r="AS14" s="56" t="s">
        <v>142</v>
      </c>
      <c r="AT14" s="56" t="s">
        <v>141</v>
      </c>
      <c r="AU14" s="56" t="s">
        <v>140</v>
      </c>
      <c r="AV14" s="56" t="s">
        <v>139</v>
      </c>
      <c r="AW14" s="56" t="s">
        <v>100</v>
      </c>
      <c r="AX14" s="56" t="s">
        <v>145</v>
      </c>
      <c r="AY14" s="56" t="s">
        <v>144</v>
      </c>
      <c r="AZ14" s="56" t="s">
        <v>143</v>
      </c>
      <c r="BA14" s="56" t="s">
        <v>142</v>
      </c>
      <c r="BB14" s="56" t="s">
        <v>141</v>
      </c>
      <c r="BC14" s="56" t="s">
        <v>140</v>
      </c>
      <c r="BD14" s="56" t="s">
        <v>139</v>
      </c>
      <c r="BE14" s="56" t="s">
        <v>100</v>
      </c>
      <c r="BF14" s="56" t="s">
        <v>145</v>
      </c>
      <c r="BG14" s="56" t="s">
        <v>144</v>
      </c>
      <c r="BH14" s="56" t="s">
        <v>143</v>
      </c>
      <c r="BI14" s="56" t="s">
        <v>142</v>
      </c>
      <c r="BJ14" s="56" t="s">
        <v>141</v>
      </c>
      <c r="BK14" s="56" t="s">
        <v>140</v>
      </c>
      <c r="BL14" s="56" t="s">
        <v>139</v>
      </c>
      <c r="BM14" s="56" t="s">
        <v>100</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v>4</v>
      </c>
      <c r="S15" s="55" t="s">
        <v>115</v>
      </c>
      <c r="T15" s="55" t="s">
        <v>115</v>
      </c>
      <c r="U15" s="55" t="s">
        <v>115</v>
      </c>
      <c r="V15" s="55">
        <v>0</v>
      </c>
      <c r="W15" s="55" t="s">
        <v>115</v>
      </c>
      <c r="X15" s="55" t="s">
        <v>115</v>
      </c>
      <c r="Y15" s="55">
        <v>0</v>
      </c>
      <c r="Z15" s="55" t="s">
        <v>115</v>
      </c>
      <c r="AA15" s="55" t="s">
        <v>115</v>
      </c>
      <c r="AB15" s="55" t="s">
        <v>115</v>
      </c>
      <c r="AC15" s="55">
        <v>2</v>
      </c>
      <c r="AD15" s="55" t="s">
        <v>115</v>
      </c>
      <c r="AE15" s="55" t="s">
        <v>115</v>
      </c>
      <c r="AF15" s="55">
        <v>2</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v>0</v>
      </c>
      <c r="BI15" s="55">
        <v>3</v>
      </c>
      <c r="BJ15" s="55" t="s">
        <v>115</v>
      </c>
      <c r="BK15" s="55" t="s">
        <v>115</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v>1</v>
      </c>
      <c r="S16" s="55" t="s">
        <v>115</v>
      </c>
      <c r="T16" s="55" t="s">
        <v>115</v>
      </c>
      <c r="U16" s="55" t="s">
        <v>115</v>
      </c>
      <c r="V16" s="55">
        <v>0</v>
      </c>
      <c r="W16" s="55" t="s">
        <v>115</v>
      </c>
      <c r="X16" s="55" t="s">
        <v>115</v>
      </c>
      <c r="Y16" s="55">
        <v>0</v>
      </c>
      <c r="Z16" s="55" t="s">
        <v>115</v>
      </c>
      <c r="AA16" s="55" t="s">
        <v>115</v>
      </c>
      <c r="AB16" s="55" t="s">
        <v>115</v>
      </c>
      <c r="AC16" s="55">
        <v>0</v>
      </c>
      <c r="AD16" s="55" t="s">
        <v>115</v>
      </c>
      <c r="AE16" s="55" t="s">
        <v>115</v>
      </c>
      <c r="AF16" s="55">
        <v>2</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v>0</v>
      </c>
      <c r="BI16" s="55">
        <v>1</v>
      </c>
      <c r="BJ16" s="55" t="s">
        <v>115</v>
      </c>
      <c r="BK16" s="55" t="s">
        <v>115</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v>3</v>
      </c>
      <c r="S17" s="55" t="s">
        <v>115</v>
      </c>
      <c r="T17" s="55" t="s">
        <v>115</v>
      </c>
      <c r="U17" s="55" t="s">
        <v>115</v>
      </c>
      <c r="V17" s="55">
        <v>0</v>
      </c>
      <c r="W17" s="55" t="s">
        <v>115</v>
      </c>
      <c r="X17" s="55" t="s">
        <v>115</v>
      </c>
      <c r="Y17" s="55">
        <v>0</v>
      </c>
      <c r="Z17" s="55" t="s">
        <v>115</v>
      </c>
      <c r="AA17" s="55" t="s">
        <v>115</v>
      </c>
      <c r="AB17" s="55" t="s">
        <v>115</v>
      </c>
      <c r="AC17" s="55">
        <v>0</v>
      </c>
      <c r="AD17" s="55" t="s">
        <v>115</v>
      </c>
      <c r="AE17" s="55" t="s">
        <v>115</v>
      </c>
      <c r="AF17" s="55">
        <v>4</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v>0</v>
      </c>
      <c r="BI17" s="55">
        <v>0</v>
      </c>
      <c r="BJ17" s="55" t="s">
        <v>115</v>
      </c>
      <c r="BK17" s="55" t="s">
        <v>115</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v>2</v>
      </c>
      <c r="S18" s="55" t="s">
        <v>115</v>
      </c>
      <c r="T18" s="55" t="s">
        <v>115</v>
      </c>
      <c r="U18" s="55" t="s">
        <v>115</v>
      </c>
      <c r="V18" s="55">
        <v>1</v>
      </c>
      <c r="W18" s="55" t="s">
        <v>115</v>
      </c>
      <c r="X18" s="55" t="s">
        <v>115</v>
      </c>
      <c r="Y18" s="55">
        <v>0</v>
      </c>
      <c r="Z18" s="55" t="s">
        <v>115</v>
      </c>
      <c r="AA18" s="55" t="s">
        <v>115</v>
      </c>
      <c r="AB18" s="55" t="s">
        <v>115</v>
      </c>
      <c r="AC18" s="55">
        <v>0</v>
      </c>
      <c r="AD18" s="55" t="s">
        <v>115</v>
      </c>
      <c r="AE18" s="55" t="s">
        <v>115</v>
      </c>
      <c r="AF18" s="55">
        <v>1</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v>2</v>
      </c>
      <c r="BI18" s="55">
        <v>1</v>
      </c>
      <c r="BJ18" s="55" t="s">
        <v>115</v>
      </c>
      <c r="BK18" s="55" t="s">
        <v>115</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v>3</v>
      </c>
      <c r="S19" s="55" t="s">
        <v>115</v>
      </c>
      <c r="T19" s="55" t="s">
        <v>115</v>
      </c>
      <c r="U19" s="55" t="s">
        <v>115</v>
      </c>
      <c r="V19" s="55">
        <v>0</v>
      </c>
      <c r="W19" s="55" t="s">
        <v>115</v>
      </c>
      <c r="X19" s="55" t="s">
        <v>115</v>
      </c>
      <c r="Y19" s="55">
        <v>0</v>
      </c>
      <c r="Z19" s="55" t="s">
        <v>115</v>
      </c>
      <c r="AA19" s="55" t="s">
        <v>115</v>
      </c>
      <c r="AB19" s="55" t="s">
        <v>115</v>
      </c>
      <c r="AC19" s="55">
        <v>3</v>
      </c>
      <c r="AD19" s="55" t="s">
        <v>115</v>
      </c>
      <c r="AE19" s="55" t="s">
        <v>115</v>
      </c>
      <c r="AF19" s="55">
        <v>3</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v>0</v>
      </c>
      <c r="BI19" s="55">
        <v>2</v>
      </c>
      <c r="BJ19" s="55" t="s">
        <v>115</v>
      </c>
      <c r="BK19" s="55" t="s">
        <v>115</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v>1</v>
      </c>
      <c r="S20" s="55" t="s">
        <v>115</v>
      </c>
      <c r="T20" s="55" t="s">
        <v>115</v>
      </c>
      <c r="U20" s="55" t="s">
        <v>115</v>
      </c>
      <c r="V20" s="55">
        <v>0</v>
      </c>
      <c r="W20" s="55" t="s">
        <v>115</v>
      </c>
      <c r="X20" s="55" t="s">
        <v>115</v>
      </c>
      <c r="Y20" s="55">
        <v>0</v>
      </c>
      <c r="Z20" s="55" t="s">
        <v>115</v>
      </c>
      <c r="AA20" s="55" t="s">
        <v>115</v>
      </c>
      <c r="AB20" s="55" t="s">
        <v>115</v>
      </c>
      <c r="AC20" s="55">
        <v>1</v>
      </c>
      <c r="AD20" s="55" t="s">
        <v>115</v>
      </c>
      <c r="AE20" s="55" t="s">
        <v>115</v>
      </c>
      <c r="AF20" s="55">
        <v>3</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v>1</v>
      </c>
      <c r="BI20" s="55">
        <v>1</v>
      </c>
      <c r="BJ20" s="55" t="s">
        <v>115</v>
      </c>
      <c r="BK20" s="55" t="s">
        <v>115</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v>6</v>
      </c>
      <c r="S21" s="55" t="s">
        <v>115</v>
      </c>
      <c r="T21" s="55" t="s">
        <v>115</v>
      </c>
      <c r="U21" s="55" t="s">
        <v>115</v>
      </c>
      <c r="V21" s="55">
        <v>1</v>
      </c>
      <c r="W21" s="55" t="s">
        <v>115</v>
      </c>
      <c r="X21" s="55" t="s">
        <v>115</v>
      </c>
      <c r="Y21" s="55">
        <v>0</v>
      </c>
      <c r="Z21" s="55" t="s">
        <v>115</v>
      </c>
      <c r="AA21" s="55" t="s">
        <v>115</v>
      </c>
      <c r="AB21" s="55" t="s">
        <v>115</v>
      </c>
      <c r="AC21" s="55">
        <v>3</v>
      </c>
      <c r="AD21" s="55" t="s">
        <v>115</v>
      </c>
      <c r="AE21" s="55" t="s">
        <v>115</v>
      </c>
      <c r="AF21" s="55">
        <v>2</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v>0</v>
      </c>
      <c r="BI21" s="55">
        <v>4</v>
      </c>
      <c r="BJ21" s="55" t="s">
        <v>115</v>
      </c>
      <c r="BK21" s="55" t="s">
        <v>115</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v>3</v>
      </c>
      <c r="S22" s="55" t="s">
        <v>115</v>
      </c>
      <c r="T22" s="55" t="s">
        <v>115</v>
      </c>
      <c r="U22" s="55" t="s">
        <v>115</v>
      </c>
      <c r="V22" s="55">
        <v>0</v>
      </c>
      <c r="W22" s="55" t="s">
        <v>115</v>
      </c>
      <c r="X22" s="55" t="s">
        <v>115</v>
      </c>
      <c r="Y22" s="55">
        <v>0</v>
      </c>
      <c r="Z22" s="55" t="s">
        <v>115</v>
      </c>
      <c r="AA22" s="55" t="s">
        <v>115</v>
      </c>
      <c r="AB22" s="55" t="s">
        <v>115</v>
      </c>
      <c r="AC22" s="55">
        <v>0</v>
      </c>
      <c r="AD22" s="55" t="s">
        <v>115</v>
      </c>
      <c r="AE22" s="55" t="s">
        <v>115</v>
      </c>
      <c r="AF22" s="55">
        <v>2</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v>0</v>
      </c>
      <c r="BI22" s="55">
        <v>3</v>
      </c>
      <c r="BJ22" s="55" t="s">
        <v>115</v>
      </c>
      <c r="BK22" s="55" t="s">
        <v>115</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v>0</v>
      </c>
      <c r="S23" s="55" t="s">
        <v>115</v>
      </c>
      <c r="T23" s="55" t="s">
        <v>115</v>
      </c>
      <c r="U23" s="55" t="s">
        <v>115</v>
      </c>
      <c r="V23" s="55">
        <v>0</v>
      </c>
      <c r="W23" s="55" t="s">
        <v>115</v>
      </c>
      <c r="X23" s="55" t="s">
        <v>115</v>
      </c>
      <c r="Y23" s="55">
        <v>0</v>
      </c>
      <c r="Z23" s="55" t="s">
        <v>115</v>
      </c>
      <c r="AA23" s="55" t="s">
        <v>115</v>
      </c>
      <c r="AB23" s="55" t="s">
        <v>115</v>
      </c>
      <c r="AC23" s="55">
        <v>0</v>
      </c>
      <c r="AD23" s="55" t="s">
        <v>115</v>
      </c>
      <c r="AE23" s="55" t="s">
        <v>115</v>
      </c>
      <c r="AF23" s="55">
        <v>0</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v>0</v>
      </c>
      <c r="BI23" s="55">
        <v>0</v>
      </c>
      <c r="BJ23" s="55" t="s">
        <v>115</v>
      </c>
      <c r="BK23" s="55" t="s">
        <v>115</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v>3</v>
      </c>
      <c r="S24" s="55" t="s">
        <v>115</v>
      </c>
      <c r="T24" s="55" t="s">
        <v>115</v>
      </c>
      <c r="U24" s="55" t="s">
        <v>115</v>
      </c>
      <c r="V24" s="55">
        <v>0</v>
      </c>
      <c r="W24" s="55" t="s">
        <v>115</v>
      </c>
      <c r="X24" s="55" t="s">
        <v>115</v>
      </c>
      <c r="Y24" s="55">
        <v>0</v>
      </c>
      <c r="Z24" s="55" t="s">
        <v>115</v>
      </c>
      <c r="AA24" s="55" t="s">
        <v>115</v>
      </c>
      <c r="AB24" s="55" t="s">
        <v>115</v>
      </c>
      <c r="AC24" s="55">
        <v>3</v>
      </c>
      <c r="AD24" s="55" t="s">
        <v>115</v>
      </c>
      <c r="AE24" s="55" t="s">
        <v>115</v>
      </c>
      <c r="AF24" s="55">
        <v>3</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v>0</v>
      </c>
      <c r="BI24" s="55">
        <v>1</v>
      </c>
      <c r="BJ24" s="55" t="s">
        <v>115</v>
      </c>
      <c r="BK24" s="55" t="s">
        <v>115</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v>1</v>
      </c>
      <c r="S25" s="55" t="s">
        <v>115</v>
      </c>
      <c r="T25" s="55" t="s">
        <v>115</v>
      </c>
      <c r="U25" s="55" t="s">
        <v>115</v>
      </c>
      <c r="V25" s="55">
        <v>0</v>
      </c>
      <c r="W25" s="55" t="s">
        <v>115</v>
      </c>
      <c r="X25" s="55" t="s">
        <v>115</v>
      </c>
      <c r="Y25" s="55">
        <v>0</v>
      </c>
      <c r="Z25" s="55" t="s">
        <v>115</v>
      </c>
      <c r="AA25" s="55" t="s">
        <v>115</v>
      </c>
      <c r="AB25" s="55" t="s">
        <v>115</v>
      </c>
      <c r="AC25" s="55">
        <v>3</v>
      </c>
      <c r="AD25" s="55" t="s">
        <v>115</v>
      </c>
      <c r="AE25" s="55" t="s">
        <v>115</v>
      </c>
      <c r="AF25" s="55">
        <v>3</v>
      </c>
      <c r="AG25" s="55">
        <v>0</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v>0</v>
      </c>
      <c r="BI25" s="55">
        <v>0</v>
      </c>
      <c r="BJ25" s="55" t="s">
        <v>115</v>
      </c>
      <c r="BK25" s="55" t="s">
        <v>115</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v>3</v>
      </c>
      <c r="S26" s="55" t="s">
        <v>115</v>
      </c>
      <c r="T26" s="55" t="s">
        <v>115</v>
      </c>
      <c r="U26" s="55" t="s">
        <v>115</v>
      </c>
      <c r="V26" s="55">
        <v>0</v>
      </c>
      <c r="W26" s="55" t="s">
        <v>115</v>
      </c>
      <c r="X26" s="55" t="s">
        <v>115</v>
      </c>
      <c r="Y26" s="55">
        <v>0</v>
      </c>
      <c r="Z26" s="55" t="s">
        <v>115</v>
      </c>
      <c r="AA26" s="55" t="s">
        <v>115</v>
      </c>
      <c r="AB26" s="55" t="s">
        <v>115</v>
      </c>
      <c r="AC26" s="55">
        <v>1</v>
      </c>
      <c r="AD26" s="55" t="s">
        <v>115</v>
      </c>
      <c r="AE26" s="55" t="s">
        <v>115</v>
      </c>
      <c r="AF26" s="55">
        <v>2</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v>1</v>
      </c>
      <c r="BI26" s="55">
        <v>1</v>
      </c>
      <c r="BJ26" s="55" t="s">
        <v>115</v>
      </c>
      <c r="BK26" s="55" t="s">
        <v>115</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v>2</v>
      </c>
      <c r="S27" s="55" t="s">
        <v>115</v>
      </c>
      <c r="T27" s="55" t="s">
        <v>115</v>
      </c>
      <c r="U27" s="55" t="s">
        <v>115</v>
      </c>
      <c r="V27" s="55">
        <v>0</v>
      </c>
      <c r="W27" s="55" t="s">
        <v>115</v>
      </c>
      <c r="X27" s="55" t="s">
        <v>115</v>
      </c>
      <c r="Y27" s="55">
        <v>0</v>
      </c>
      <c r="Z27" s="55" t="s">
        <v>115</v>
      </c>
      <c r="AA27" s="55" t="s">
        <v>115</v>
      </c>
      <c r="AB27" s="55" t="s">
        <v>115</v>
      </c>
      <c r="AC27" s="55">
        <v>2</v>
      </c>
      <c r="AD27" s="55" t="s">
        <v>115</v>
      </c>
      <c r="AE27" s="55" t="s">
        <v>115</v>
      </c>
      <c r="AF27" s="55">
        <v>3</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v>2</v>
      </c>
      <c r="BI27" s="55">
        <v>1</v>
      </c>
      <c r="BJ27" s="55" t="s">
        <v>115</v>
      </c>
      <c r="BK27" s="55" t="s">
        <v>115</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v>0</v>
      </c>
      <c r="S28" s="55" t="s">
        <v>115</v>
      </c>
      <c r="T28" s="55" t="s">
        <v>115</v>
      </c>
      <c r="U28" s="55" t="s">
        <v>115</v>
      </c>
      <c r="V28" s="55">
        <v>0</v>
      </c>
      <c r="W28" s="55" t="s">
        <v>115</v>
      </c>
      <c r="X28" s="55" t="s">
        <v>115</v>
      </c>
      <c r="Y28" s="55">
        <v>0</v>
      </c>
      <c r="Z28" s="55" t="s">
        <v>115</v>
      </c>
      <c r="AA28" s="55" t="s">
        <v>115</v>
      </c>
      <c r="AB28" s="55" t="s">
        <v>115</v>
      </c>
      <c r="AC28" s="55">
        <v>0</v>
      </c>
      <c r="AD28" s="55" t="s">
        <v>115</v>
      </c>
      <c r="AE28" s="55" t="s">
        <v>115</v>
      </c>
      <c r="AF28" s="55">
        <v>0</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v>0</v>
      </c>
      <c r="BI28" s="55">
        <v>0</v>
      </c>
      <c r="BJ28" s="55" t="s">
        <v>115</v>
      </c>
      <c r="BK28" s="55" t="s">
        <v>115</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v>3</v>
      </c>
      <c r="S29" s="55" t="s">
        <v>115</v>
      </c>
      <c r="T29" s="55" t="s">
        <v>115</v>
      </c>
      <c r="U29" s="55" t="s">
        <v>115</v>
      </c>
      <c r="V29" s="55">
        <v>1</v>
      </c>
      <c r="W29" s="55" t="s">
        <v>115</v>
      </c>
      <c r="X29" s="55" t="s">
        <v>115</v>
      </c>
      <c r="Y29" s="55">
        <v>0</v>
      </c>
      <c r="Z29" s="55" t="s">
        <v>115</v>
      </c>
      <c r="AA29" s="55" t="s">
        <v>115</v>
      </c>
      <c r="AB29" s="55" t="s">
        <v>115</v>
      </c>
      <c r="AC29" s="55">
        <v>0</v>
      </c>
      <c r="AD29" s="55" t="s">
        <v>115</v>
      </c>
      <c r="AE29" s="55" t="s">
        <v>115</v>
      </c>
      <c r="AF29" s="55">
        <v>3</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v>0</v>
      </c>
      <c r="BI29" s="55">
        <v>0</v>
      </c>
      <c r="BJ29" s="55" t="s">
        <v>115</v>
      </c>
      <c r="BK29" s="55" t="s">
        <v>115</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v>3</v>
      </c>
      <c r="S30" s="55" t="s">
        <v>115</v>
      </c>
      <c r="T30" s="55" t="s">
        <v>115</v>
      </c>
      <c r="U30" s="55" t="s">
        <v>115</v>
      </c>
      <c r="V30" s="55">
        <v>0</v>
      </c>
      <c r="W30" s="55" t="s">
        <v>115</v>
      </c>
      <c r="X30" s="55" t="s">
        <v>115</v>
      </c>
      <c r="Y30" s="55">
        <v>0</v>
      </c>
      <c r="Z30" s="55" t="s">
        <v>115</v>
      </c>
      <c r="AA30" s="55" t="s">
        <v>115</v>
      </c>
      <c r="AB30" s="55" t="s">
        <v>115</v>
      </c>
      <c r="AC30" s="55">
        <v>1</v>
      </c>
      <c r="AD30" s="55" t="s">
        <v>115</v>
      </c>
      <c r="AE30" s="55" t="s">
        <v>115</v>
      </c>
      <c r="AF30" s="55">
        <v>1</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v>0</v>
      </c>
      <c r="BI30" s="55">
        <v>3</v>
      </c>
      <c r="BJ30" s="55" t="s">
        <v>115</v>
      </c>
      <c r="BK30" s="55" t="s">
        <v>115</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v>2</v>
      </c>
      <c r="S31" s="55" t="s">
        <v>115</v>
      </c>
      <c r="T31" s="55" t="s">
        <v>115</v>
      </c>
      <c r="U31" s="55" t="s">
        <v>115</v>
      </c>
      <c r="V31" s="55">
        <v>0</v>
      </c>
      <c r="W31" s="55" t="s">
        <v>115</v>
      </c>
      <c r="X31" s="55" t="s">
        <v>115</v>
      </c>
      <c r="Y31" s="55">
        <v>0</v>
      </c>
      <c r="Z31" s="55" t="s">
        <v>115</v>
      </c>
      <c r="AA31" s="55" t="s">
        <v>115</v>
      </c>
      <c r="AB31" s="55" t="s">
        <v>115</v>
      </c>
      <c r="AC31" s="55">
        <v>4</v>
      </c>
      <c r="AD31" s="55" t="s">
        <v>115</v>
      </c>
      <c r="AE31" s="55" t="s">
        <v>115</v>
      </c>
      <c r="AF31" s="55">
        <v>4</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v>0</v>
      </c>
      <c r="BI31" s="55">
        <v>1</v>
      </c>
      <c r="BJ31" s="55" t="s">
        <v>115</v>
      </c>
      <c r="BK31" s="55" t="s">
        <v>115</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v>2</v>
      </c>
      <c r="S32" s="55" t="s">
        <v>115</v>
      </c>
      <c r="T32" s="55" t="s">
        <v>115</v>
      </c>
      <c r="U32" s="55" t="s">
        <v>115</v>
      </c>
      <c r="V32" s="55">
        <v>0</v>
      </c>
      <c r="W32" s="55" t="s">
        <v>115</v>
      </c>
      <c r="X32" s="55" t="s">
        <v>115</v>
      </c>
      <c r="Y32" s="55">
        <v>0</v>
      </c>
      <c r="Z32" s="55" t="s">
        <v>115</v>
      </c>
      <c r="AA32" s="55" t="s">
        <v>115</v>
      </c>
      <c r="AB32" s="55" t="s">
        <v>115</v>
      </c>
      <c r="AC32" s="55">
        <v>0</v>
      </c>
      <c r="AD32" s="55" t="s">
        <v>115</v>
      </c>
      <c r="AE32" s="55" t="s">
        <v>115</v>
      </c>
      <c r="AF32" s="55">
        <v>1</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v>0</v>
      </c>
      <c r="BI32" s="55">
        <v>1</v>
      </c>
      <c r="BJ32" s="55" t="s">
        <v>115</v>
      </c>
      <c r="BK32" s="55" t="s">
        <v>115</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v>2</v>
      </c>
      <c r="S33" s="55" t="s">
        <v>115</v>
      </c>
      <c r="T33" s="55" t="s">
        <v>115</v>
      </c>
      <c r="U33" s="55" t="s">
        <v>115</v>
      </c>
      <c r="V33" s="55">
        <v>0</v>
      </c>
      <c r="W33" s="55" t="s">
        <v>115</v>
      </c>
      <c r="X33" s="55" t="s">
        <v>115</v>
      </c>
      <c r="Y33" s="55">
        <v>0</v>
      </c>
      <c r="Z33" s="55" t="s">
        <v>115</v>
      </c>
      <c r="AA33" s="55" t="s">
        <v>115</v>
      </c>
      <c r="AB33" s="55" t="s">
        <v>115</v>
      </c>
      <c r="AC33" s="55">
        <v>1</v>
      </c>
      <c r="AD33" s="55" t="s">
        <v>115</v>
      </c>
      <c r="AE33" s="55" t="s">
        <v>115</v>
      </c>
      <c r="AF33" s="55">
        <v>3</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v>0</v>
      </c>
      <c r="BI33" s="55">
        <v>0</v>
      </c>
      <c r="BJ33" s="55" t="s">
        <v>115</v>
      </c>
      <c r="BK33" s="55" t="s">
        <v>115</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v>1</v>
      </c>
      <c r="S34" s="55" t="s">
        <v>115</v>
      </c>
      <c r="T34" s="55" t="s">
        <v>115</v>
      </c>
      <c r="U34" s="55" t="s">
        <v>115</v>
      </c>
      <c r="V34" s="55">
        <v>0</v>
      </c>
      <c r="W34" s="55" t="s">
        <v>115</v>
      </c>
      <c r="X34" s="55" t="s">
        <v>115</v>
      </c>
      <c r="Y34" s="55">
        <v>0</v>
      </c>
      <c r="Z34" s="55" t="s">
        <v>115</v>
      </c>
      <c r="AA34" s="55" t="s">
        <v>115</v>
      </c>
      <c r="AB34" s="55" t="s">
        <v>115</v>
      </c>
      <c r="AC34" s="55">
        <v>3</v>
      </c>
      <c r="AD34" s="55" t="s">
        <v>115</v>
      </c>
      <c r="AE34" s="55" t="s">
        <v>115</v>
      </c>
      <c r="AF34" s="55">
        <v>1</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v>0</v>
      </c>
      <c r="BI34" s="55">
        <v>0</v>
      </c>
      <c r="BJ34" s="55" t="s">
        <v>115</v>
      </c>
      <c r="BK34" s="55" t="s">
        <v>115</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v>3</v>
      </c>
      <c r="S35" s="55" t="s">
        <v>115</v>
      </c>
      <c r="T35" s="55" t="s">
        <v>115</v>
      </c>
      <c r="U35" s="55" t="s">
        <v>115</v>
      </c>
      <c r="V35" s="55">
        <v>0</v>
      </c>
      <c r="W35" s="55" t="s">
        <v>115</v>
      </c>
      <c r="X35" s="55" t="s">
        <v>115</v>
      </c>
      <c r="Y35" s="55">
        <v>0</v>
      </c>
      <c r="Z35" s="55" t="s">
        <v>115</v>
      </c>
      <c r="AA35" s="55" t="s">
        <v>115</v>
      </c>
      <c r="AB35" s="55" t="s">
        <v>115</v>
      </c>
      <c r="AC35" s="55">
        <v>1</v>
      </c>
      <c r="AD35" s="55" t="s">
        <v>115</v>
      </c>
      <c r="AE35" s="55" t="s">
        <v>115</v>
      </c>
      <c r="AF35" s="55">
        <v>3</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v>0</v>
      </c>
      <c r="BI35" s="55">
        <v>0</v>
      </c>
      <c r="BJ35" s="55" t="s">
        <v>115</v>
      </c>
      <c r="BK35" s="55" t="s">
        <v>115</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v>3</v>
      </c>
      <c r="S36" s="55" t="s">
        <v>115</v>
      </c>
      <c r="T36" s="55" t="s">
        <v>115</v>
      </c>
      <c r="U36" s="55" t="s">
        <v>115</v>
      </c>
      <c r="V36" s="55">
        <v>0</v>
      </c>
      <c r="W36" s="55" t="s">
        <v>115</v>
      </c>
      <c r="X36" s="55" t="s">
        <v>115</v>
      </c>
      <c r="Y36" s="55">
        <v>0</v>
      </c>
      <c r="Z36" s="55" t="s">
        <v>115</v>
      </c>
      <c r="AA36" s="55" t="s">
        <v>115</v>
      </c>
      <c r="AB36" s="55" t="s">
        <v>115</v>
      </c>
      <c r="AC36" s="55">
        <v>1</v>
      </c>
      <c r="AD36" s="55" t="s">
        <v>115</v>
      </c>
      <c r="AE36" s="55" t="s">
        <v>115</v>
      </c>
      <c r="AF36" s="55">
        <v>4</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v>0</v>
      </c>
      <c r="BI36" s="55">
        <v>1</v>
      </c>
      <c r="BJ36" s="55" t="s">
        <v>115</v>
      </c>
      <c r="BK36" s="55" t="s">
        <v>115</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v>0</v>
      </c>
      <c r="S37" s="55" t="s">
        <v>115</v>
      </c>
      <c r="T37" s="55" t="s">
        <v>115</v>
      </c>
      <c r="U37" s="55" t="s">
        <v>115</v>
      </c>
      <c r="V37" s="55">
        <v>0</v>
      </c>
      <c r="W37" s="55" t="s">
        <v>115</v>
      </c>
      <c r="X37" s="55" t="s">
        <v>115</v>
      </c>
      <c r="Y37" s="55">
        <v>0</v>
      </c>
      <c r="Z37" s="55" t="s">
        <v>115</v>
      </c>
      <c r="AA37" s="55" t="s">
        <v>115</v>
      </c>
      <c r="AB37" s="55" t="s">
        <v>115</v>
      </c>
      <c r="AC37" s="55">
        <v>0</v>
      </c>
      <c r="AD37" s="55" t="s">
        <v>115</v>
      </c>
      <c r="AE37" s="55" t="s">
        <v>115</v>
      </c>
      <c r="AF37" s="55">
        <v>0</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v>0</v>
      </c>
      <c r="BI37" s="55">
        <v>0</v>
      </c>
      <c r="BJ37" s="55" t="s">
        <v>115</v>
      </c>
      <c r="BK37" s="55" t="s">
        <v>115</v>
      </c>
      <c r="BL37" s="55" t="s">
        <v>115</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9103-1F62-4ECC-AA73-1FF8819F6D2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155</v>
      </c>
      <c r="K12" s="61"/>
      <c r="L12" s="61"/>
      <c r="M12" s="61"/>
      <c r="N12" s="61"/>
      <c r="O12" s="61"/>
      <c r="P12" s="61"/>
      <c r="Q12" s="60"/>
      <c r="R12" s="62" t="s">
        <v>157</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100</v>
      </c>
      <c r="J14" s="56" t="s">
        <v>145</v>
      </c>
      <c r="K14" s="56" t="s">
        <v>144</v>
      </c>
      <c r="L14" s="56" t="s">
        <v>143</v>
      </c>
      <c r="M14" s="56" t="s">
        <v>142</v>
      </c>
      <c r="N14" s="56" t="s">
        <v>141</v>
      </c>
      <c r="O14" s="56" t="s">
        <v>140</v>
      </c>
      <c r="P14" s="56" t="s">
        <v>139</v>
      </c>
      <c r="Q14" s="56" t="s">
        <v>100</v>
      </c>
      <c r="R14" s="56" t="s">
        <v>145</v>
      </c>
      <c r="S14" s="56" t="s">
        <v>144</v>
      </c>
      <c r="T14" s="56" t="s">
        <v>143</v>
      </c>
      <c r="U14" s="56" t="s">
        <v>142</v>
      </c>
      <c r="V14" s="56" t="s">
        <v>141</v>
      </c>
      <c r="W14" s="56" t="s">
        <v>140</v>
      </c>
      <c r="X14" s="56" t="s">
        <v>139</v>
      </c>
      <c r="Y14" s="56" t="s">
        <v>100</v>
      </c>
      <c r="Z14" s="56" t="s">
        <v>145</v>
      </c>
      <c r="AA14" s="56" t="s">
        <v>144</v>
      </c>
      <c r="AB14" s="56" t="s">
        <v>143</v>
      </c>
      <c r="AC14" s="56" t="s">
        <v>142</v>
      </c>
      <c r="AD14" s="56" t="s">
        <v>141</v>
      </c>
      <c r="AE14" s="56" t="s">
        <v>140</v>
      </c>
      <c r="AF14" s="56" t="s">
        <v>139</v>
      </c>
      <c r="AG14" s="56" t="s">
        <v>100</v>
      </c>
      <c r="AH14" s="56" t="s">
        <v>145</v>
      </c>
      <c r="AI14" s="56" t="s">
        <v>144</v>
      </c>
      <c r="AJ14" s="56" t="s">
        <v>143</v>
      </c>
      <c r="AK14" s="56" t="s">
        <v>142</v>
      </c>
      <c r="AL14" s="56" t="s">
        <v>141</v>
      </c>
      <c r="AM14" s="56" t="s">
        <v>140</v>
      </c>
      <c r="AN14" s="56" t="s">
        <v>139</v>
      </c>
      <c r="AO14" s="56" t="s">
        <v>100</v>
      </c>
      <c r="AP14" s="56" t="s">
        <v>145</v>
      </c>
      <c r="AQ14" s="56" t="s">
        <v>144</v>
      </c>
      <c r="AR14" s="56" t="s">
        <v>143</v>
      </c>
      <c r="AS14" s="56" t="s">
        <v>142</v>
      </c>
      <c r="AT14" s="56" t="s">
        <v>141</v>
      </c>
      <c r="AU14" s="56" t="s">
        <v>140</v>
      </c>
      <c r="AV14" s="56" t="s">
        <v>139</v>
      </c>
      <c r="AW14" s="56" t="s">
        <v>100</v>
      </c>
      <c r="AX14" s="56" t="s">
        <v>145</v>
      </c>
      <c r="AY14" s="56" t="s">
        <v>144</v>
      </c>
      <c r="AZ14" s="56" t="s">
        <v>143</v>
      </c>
      <c r="BA14" s="56" t="s">
        <v>142</v>
      </c>
      <c r="BB14" s="56" t="s">
        <v>141</v>
      </c>
      <c r="BC14" s="56" t="s">
        <v>140</v>
      </c>
      <c r="BD14" s="56" t="s">
        <v>139</v>
      </c>
      <c r="BE14" s="56" t="s">
        <v>100</v>
      </c>
      <c r="BF14" s="56" t="s">
        <v>145</v>
      </c>
      <c r="BG14" s="56" t="s">
        <v>144</v>
      </c>
      <c r="BH14" s="56" t="s">
        <v>143</v>
      </c>
      <c r="BI14" s="56" t="s">
        <v>142</v>
      </c>
      <c r="BJ14" s="56" t="s">
        <v>141</v>
      </c>
      <c r="BK14" s="56" t="s">
        <v>140</v>
      </c>
      <c r="BL14" s="56" t="s">
        <v>139</v>
      </c>
      <c r="BM14" s="56" t="s">
        <v>100</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v>0</v>
      </c>
      <c r="S15" s="55" t="s">
        <v>115</v>
      </c>
      <c r="T15" s="55" t="s">
        <v>115</v>
      </c>
      <c r="U15" s="55" t="s">
        <v>115</v>
      </c>
      <c r="V15" s="55">
        <v>0</v>
      </c>
      <c r="W15" s="55" t="s">
        <v>115</v>
      </c>
      <c r="X15" s="55" t="s">
        <v>115</v>
      </c>
      <c r="Y15" s="55">
        <v>0</v>
      </c>
      <c r="Z15" s="55" t="s">
        <v>115</v>
      </c>
      <c r="AA15" s="55" t="s">
        <v>115</v>
      </c>
      <c r="AB15" s="55" t="s">
        <v>115</v>
      </c>
      <c r="AC15" s="55">
        <v>1</v>
      </c>
      <c r="AD15" s="55" t="s">
        <v>115</v>
      </c>
      <c r="AE15" s="55" t="s">
        <v>115</v>
      </c>
      <c r="AF15" s="55">
        <v>3</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v>0</v>
      </c>
      <c r="BI15" s="55">
        <v>0</v>
      </c>
      <c r="BJ15" s="55" t="s">
        <v>115</v>
      </c>
      <c r="BK15" s="55" t="s">
        <v>115</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v>0</v>
      </c>
      <c r="S16" s="55" t="s">
        <v>115</v>
      </c>
      <c r="T16" s="55" t="s">
        <v>115</v>
      </c>
      <c r="U16" s="55" t="s">
        <v>115</v>
      </c>
      <c r="V16" s="55">
        <v>2</v>
      </c>
      <c r="W16" s="55" t="s">
        <v>115</v>
      </c>
      <c r="X16" s="55" t="s">
        <v>115</v>
      </c>
      <c r="Y16" s="55">
        <v>0</v>
      </c>
      <c r="Z16" s="55" t="s">
        <v>115</v>
      </c>
      <c r="AA16" s="55" t="s">
        <v>115</v>
      </c>
      <c r="AB16" s="55" t="s">
        <v>115</v>
      </c>
      <c r="AC16" s="55">
        <v>1</v>
      </c>
      <c r="AD16" s="55" t="s">
        <v>115</v>
      </c>
      <c r="AE16" s="55" t="s">
        <v>115</v>
      </c>
      <c r="AF16" s="55">
        <v>1</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v>0</v>
      </c>
      <c r="BI16" s="55">
        <v>0</v>
      </c>
      <c r="BJ16" s="55" t="s">
        <v>115</v>
      </c>
      <c r="BK16" s="55" t="s">
        <v>115</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v>1</v>
      </c>
      <c r="S17" s="55" t="s">
        <v>115</v>
      </c>
      <c r="T17" s="55" t="s">
        <v>115</v>
      </c>
      <c r="U17" s="55" t="s">
        <v>115</v>
      </c>
      <c r="V17" s="55">
        <v>1</v>
      </c>
      <c r="W17" s="55" t="s">
        <v>115</v>
      </c>
      <c r="X17" s="55" t="s">
        <v>115</v>
      </c>
      <c r="Y17" s="55">
        <v>0</v>
      </c>
      <c r="Z17" s="55" t="s">
        <v>115</v>
      </c>
      <c r="AA17" s="55" t="s">
        <v>115</v>
      </c>
      <c r="AB17" s="55" t="s">
        <v>115</v>
      </c>
      <c r="AC17" s="55">
        <v>3</v>
      </c>
      <c r="AD17" s="55" t="s">
        <v>115</v>
      </c>
      <c r="AE17" s="55" t="s">
        <v>115</v>
      </c>
      <c r="AF17" s="55">
        <v>7</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v>0</v>
      </c>
      <c r="BI17" s="55">
        <v>0</v>
      </c>
      <c r="BJ17" s="55" t="s">
        <v>115</v>
      </c>
      <c r="BK17" s="55" t="s">
        <v>115</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v>1</v>
      </c>
      <c r="S18" s="55" t="s">
        <v>115</v>
      </c>
      <c r="T18" s="55" t="s">
        <v>115</v>
      </c>
      <c r="U18" s="55" t="s">
        <v>115</v>
      </c>
      <c r="V18" s="55">
        <v>1</v>
      </c>
      <c r="W18" s="55" t="s">
        <v>115</v>
      </c>
      <c r="X18" s="55" t="s">
        <v>115</v>
      </c>
      <c r="Y18" s="55">
        <v>0</v>
      </c>
      <c r="Z18" s="55" t="s">
        <v>115</v>
      </c>
      <c r="AA18" s="55" t="s">
        <v>115</v>
      </c>
      <c r="AB18" s="55" t="s">
        <v>115</v>
      </c>
      <c r="AC18" s="55">
        <v>1</v>
      </c>
      <c r="AD18" s="55" t="s">
        <v>115</v>
      </c>
      <c r="AE18" s="55" t="s">
        <v>115</v>
      </c>
      <c r="AF18" s="55">
        <v>4</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v>0</v>
      </c>
      <c r="BI18" s="55">
        <v>0</v>
      </c>
      <c r="BJ18" s="55" t="s">
        <v>115</v>
      </c>
      <c r="BK18" s="55" t="s">
        <v>115</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v>0</v>
      </c>
      <c r="S19" s="55" t="s">
        <v>115</v>
      </c>
      <c r="T19" s="55" t="s">
        <v>115</v>
      </c>
      <c r="U19" s="55" t="s">
        <v>115</v>
      </c>
      <c r="V19" s="55">
        <v>1</v>
      </c>
      <c r="W19" s="55" t="s">
        <v>115</v>
      </c>
      <c r="X19" s="55" t="s">
        <v>115</v>
      </c>
      <c r="Y19" s="55">
        <v>0</v>
      </c>
      <c r="Z19" s="55" t="s">
        <v>115</v>
      </c>
      <c r="AA19" s="55" t="s">
        <v>115</v>
      </c>
      <c r="AB19" s="55" t="s">
        <v>115</v>
      </c>
      <c r="AC19" s="55">
        <v>3</v>
      </c>
      <c r="AD19" s="55" t="s">
        <v>115</v>
      </c>
      <c r="AE19" s="55" t="s">
        <v>115</v>
      </c>
      <c r="AF19" s="55">
        <v>7</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v>1</v>
      </c>
      <c r="BI19" s="55">
        <v>0</v>
      </c>
      <c r="BJ19" s="55" t="s">
        <v>115</v>
      </c>
      <c r="BK19" s="55" t="s">
        <v>115</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v>0</v>
      </c>
      <c r="S20" s="55" t="s">
        <v>115</v>
      </c>
      <c r="T20" s="55" t="s">
        <v>115</v>
      </c>
      <c r="U20" s="55" t="s">
        <v>115</v>
      </c>
      <c r="V20" s="55">
        <v>0</v>
      </c>
      <c r="W20" s="55" t="s">
        <v>115</v>
      </c>
      <c r="X20" s="55" t="s">
        <v>115</v>
      </c>
      <c r="Y20" s="55">
        <v>0</v>
      </c>
      <c r="Z20" s="55" t="s">
        <v>115</v>
      </c>
      <c r="AA20" s="55" t="s">
        <v>115</v>
      </c>
      <c r="AB20" s="55" t="s">
        <v>115</v>
      </c>
      <c r="AC20" s="55">
        <v>7</v>
      </c>
      <c r="AD20" s="55" t="s">
        <v>115</v>
      </c>
      <c r="AE20" s="55" t="s">
        <v>115</v>
      </c>
      <c r="AF20" s="55">
        <v>2</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v>0</v>
      </c>
      <c r="BI20" s="55">
        <v>0</v>
      </c>
      <c r="BJ20" s="55" t="s">
        <v>115</v>
      </c>
      <c r="BK20" s="55" t="s">
        <v>115</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v>0</v>
      </c>
      <c r="S21" s="55" t="s">
        <v>115</v>
      </c>
      <c r="T21" s="55" t="s">
        <v>115</v>
      </c>
      <c r="U21" s="55" t="s">
        <v>115</v>
      </c>
      <c r="V21" s="55">
        <v>0</v>
      </c>
      <c r="W21" s="55" t="s">
        <v>115</v>
      </c>
      <c r="X21" s="55" t="s">
        <v>115</v>
      </c>
      <c r="Y21" s="55">
        <v>0</v>
      </c>
      <c r="Z21" s="55" t="s">
        <v>115</v>
      </c>
      <c r="AA21" s="55" t="s">
        <v>115</v>
      </c>
      <c r="AB21" s="55" t="s">
        <v>115</v>
      </c>
      <c r="AC21" s="55">
        <v>1</v>
      </c>
      <c r="AD21" s="55" t="s">
        <v>115</v>
      </c>
      <c r="AE21" s="55" t="s">
        <v>115</v>
      </c>
      <c r="AF21" s="55">
        <v>1</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v>0</v>
      </c>
      <c r="BI21" s="55">
        <v>1</v>
      </c>
      <c r="BJ21" s="55" t="s">
        <v>115</v>
      </c>
      <c r="BK21" s="55" t="s">
        <v>115</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v>0</v>
      </c>
      <c r="S22" s="55" t="s">
        <v>115</v>
      </c>
      <c r="T22" s="55" t="s">
        <v>115</v>
      </c>
      <c r="U22" s="55" t="s">
        <v>115</v>
      </c>
      <c r="V22" s="55">
        <v>0</v>
      </c>
      <c r="W22" s="55" t="s">
        <v>115</v>
      </c>
      <c r="X22" s="55" t="s">
        <v>115</v>
      </c>
      <c r="Y22" s="55">
        <v>0</v>
      </c>
      <c r="Z22" s="55" t="s">
        <v>115</v>
      </c>
      <c r="AA22" s="55" t="s">
        <v>115</v>
      </c>
      <c r="AB22" s="55" t="s">
        <v>115</v>
      </c>
      <c r="AC22" s="55">
        <v>1</v>
      </c>
      <c r="AD22" s="55" t="s">
        <v>115</v>
      </c>
      <c r="AE22" s="55" t="s">
        <v>115</v>
      </c>
      <c r="AF22" s="55">
        <v>1</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v>0</v>
      </c>
      <c r="BI22" s="55">
        <v>0</v>
      </c>
      <c r="BJ22" s="55" t="s">
        <v>115</v>
      </c>
      <c r="BK22" s="55" t="s">
        <v>115</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v>0</v>
      </c>
      <c r="S23" s="55" t="s">
        <v>115</v>
      </c>
      <c r="T23" s="55" t="s">
        <v>115</v>
      </c>
      <c r="U23" s="55" t="s">
        <v>115</v>
      </c>
      <c r="V23" s="55">
        <v>0</v>
      </c>
      <c r="W23" s="55" t="s">
        <v>115</v>
      </c>
      <c r="X23" s="55" t="s">
        <v>115</v>
      </c>
      <c r="Y23" s="55">
        <v>0</v>
      </c>
      <c r="Z23" s="55" t="s">
        <v>115</v>
      </c>
      <c r="AA23" s="55" t="s">
        <v>115</v>
      </c>
      <c r="AB23" s="55" t="s">
        <v>115</v>
      </c>
      <c r="AC23" s="55">
        <v>0</v>
      </c>
      <c r="AD23" s="55" t="s">
        <v>115</v>
      </c>
      <c r="AE23" s="55" t="s">
        <v>115</v>
      </c>
      <c r="AF23" s="55">
        <v>0</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v>0</v>
      </c>
      <c r="BI23" s="55">
        <v>0</v>
      </c>
      <c r="BJ23" s="55" t="s">
        <v>115</v>
      </c>
      <c r="BK23" s="55" t="s">
        <v>115</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v>1</v>
      </c>
      <c r="S24" s="55" t="s">
        <v>115</v>
      </c>
      <c r="T24" s="55" t="s">
        <v>115</v>
      </c>
      <c r="U24" s="55" t="s">
        <v>115</v>
      </c>
      <c r="V24" s="55">
        <v>0</v>
      </c>
      <c r="W24" s="55" t="s">
        <v>115</v>
      </c>
      <c r="X24" s="55" t="s">
        <v>115</v>
      </c>
      <c r="Y24" s="55">
        <v>0</v>
      </c>
      <c r="Z24" s="55" t="s">
        <v>115</v>
      </c>
      <c r="AA24" s="55" t="s">
        <v>115</v>
      </c>
      <c r="AB24" s="55" t="s">
        <v>115</v>
      </c>
      <c r="AC24" s="55">
        <v>1</v>
      </c>
      <c r="AD24" s="55" t="s">
        <v>115</v>
      </c>
      <c r="AE24" s="55" t="s">
        <v>115</v>
      </c>
      <c r="AF24" s="55">
        <v>3</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v>0</v>
      </c>
      <c r="BI24" s="55">
        <v>0</v>
      </c>
      <c r="BJ24" s="55" t="s">
        <v>115</v>
      </c>
      <c r="BK24" s="55" t="s">
        <v>115</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v>1</v>
      </c>
      <c r="S25" s="55" t="s">
        <v>115</v>
      </c>
      <c r="T25" s="55" t="s">
        <v>115</v>
      </c>
      <c r="U25" s="55" t="s">
        <v>115</v>
      </c>
      <c r="V25" s="55">
        <v>0</v>
      </c>
      <c r="W25" s="55" t="s">
        <v>115</v>
      </c>
      <c r="X25" s="55" t="s">
        <v>115</v>
      </c>
      <c r="Y25" s="55">
        <v>0</v>
      </c>
      <c r="Z25" s="55" t="s">
        <v>115</v>
      </c>
      <c r="AA25" s="55" t="s">
        <v>115</v>
      </c>
      <c r="AB25" s="55" t="s">
        <v>115</v>
      </c>
      <c r="AC25" s="55">
        <v>0</v>
      </c>
      <c r="AD25" s="55" t="s">
        <v>115</v>
      </c>
      <c r="AE25" s="55" t="s">
        <v>115</v>
      </c>
      <c r="AF25" s="55">
        <v>0</v>
      </c>
      <c r="AG25" s="55">
        <v>0</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v>0</v>
      </c>
      <c r="BI25" s="55">
        <v>1</v>
      </c>
      <c r="BJ25" s="55" t="s">
        <v>115</v>
      </c>
      <c r="BK25" s="55" t="s">
        <v>115</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v>0</v>
      </c>
      <c r="S26" s="55" t="s">
        <v>115</v>
      </c>
      <c r="T26" s="55" t="s">
        <v>115</v>
      </c>
      <c r="U26" s="55" t="s">
        <v>115</v>
      </c>
      <c r="V26" s="55">
        <v>0</v>
      </c>
      <c r="W26" s="55" t="s">
        <v>115</v>
      </c>
      <c r="X26" s="55" t="s">
        <v>115</v>
      </c>
      <c r="Y26" s="55">
        <v>0</v>
      </c>
      <c r="Z26" s="55" t="s">
        <v>115</v>
      </c>
      <c r="AA26" s="55" t="s">
        <v>115</v>
      </c>
      <c r="AB26" s="55" t="s">
        <v>115</v>
      </c>
      <c r="AC26" s="55">
        <v>0</v>
      </c>
      <c r="AD26" s="55" t="s">
        <v>115</v>
      </c>
      <c r="AE26" s="55" t="s">
        <v>115</v>
      </c>
      <c r="AF26" s="55">
        <v>2</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v>0</v>
      </c>
      <c r="BI26" s="55">
        <v>0</v>
      </c>
      <c r="BJ26" s="55" t="s">
        <v>115</v>
      </c>
      <c r="BK26" s="55" t="s">
        <v>115</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v>0</v>
      </c>
      <c r="S27" s="55" t="s">
        <v>115</v>
      </c>
      <c r="T27" s="55" t="s">
        <v>115</v>
      </c>
      <c r="U27" s="55" t="s">
        <v>115</v>
      </c>
      <c r="V27" s="55">
        <v>0</v>
      </c>
      <c r="W27" s="55" t="s">
        <v>115</v>
      </c>
      <c r="X27" s="55" t="s">
        <v>115</v>
      </c>
      <c r="Y27" s="55">
        <v>0</v>
      </c>
      <c r="Z27" s="55" t="s">
        <v>115</v>
      </c>
      <c r="AA27" s="55" t="s">
        <v>115</v>
      </c>
      <c r="AB27" s="55" t="s">
        <v>115</v>
      </c>
      <c r="AC27" s="55">
        <v>1</v>
      </c>
      <c r="AD27" s="55" t="s">
        <v>115</v>
      </c>
      <c r="AE27" s="55" t="s">
        <v>115</v>
      </c>
      <c r="AF27" s="55">
        <v>1</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v>0</v>
      </c>
      <c r="BI27" s="55">
        <v>0</v>
      </c>
      <c r="BJ27" s="55" t="s">
        <v>115</v>
      </c>
      <c r="BK27" s="55" t="s">
        <v>115</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v>0</v>
      </c>
      <c r="S28" s="55" t="s">
        <v>115</v>
      </c>
      <c r="T28" s="55" t="s">
        <v>115</v>
      </c>
      <c r="U28" s="55" t="s">
        <v>115</v>
      </c>
      <c r="V28" s="55">
        <v>0</v>
      </c>
      <c r="W28" s="55" t="s">
        <v>115</v>
      </c>
      <c r="X28" s="55" t="s">
        <v>115</v>
      </c>
      <c r="Y28" s="55">
        <v>0</v>
      </c>
      <c r="Z28" s="55" t="s">
        <v>115</v>
      </c>
      <c r="AA28" s="55" t="s">
        <v>115</v>
      </c>
      <c r="AB28" s="55" t="s">
        <v>115</v>
      </c>
      <c r="AC28" s="55">
        <v>0</v>
      </c>
      <c r="AD28" s="55" t="s">
        <v>115</v>
      </c>
      <c r="AE28" s="55" t="s">
        <v>115</v>
      </c>
      <c r="AF28" s="55">
        <v>0</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v>0</v>
      </c>
      <c r="BI28" s="55">
        <v>0</v>
      </c>
      <c r="BJ28" s="55" t="s">
        <v>115</v>
      </c>
      <c r="BK28" s="55" t="s">
        <v>115</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v>2</v>
      </c>
      <c r="S29" s="55" t="s">
        <v>115</v>
      </c>
      <c r="T29" s="55" t="s">
        <v>115</v>
      </c>
      <c r="U29" s="55" t="s">
        <v>115</v>
      </c>
      <c r="V29" s="55">
        <v>0</v>
      </c>
      <c r="W29" s="55" t="s">
        <v>115</v>
      </c>
      <c r="X29" s="55" t="s">
        <v>115</v>
      </c>
      <c r="Y29" s="55">
        <v>0</v>
      </c>
      <c r="Z29" s="55" t="s">
        <v>115</v>
      </c>
      <c r="AA29" s="55" t="s">
        <v>115</v>
      </c>
      <c r="AB29" s="55" t="s">
        <v>115</v>
      </c>
      <c r="AC29" s="55">
        <v>2</v>
      </c>
      <c r="AD29" s="55" t="s">
        <v>115</v>
      </c>
      <c r="AE29" s="55" t="s">
        <v>115</v>
      </c>
      <c r="AF29" s="55">
        <v>2</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v>0</v>
      </c>
      <c r="BI29" s="55">
        <v>0</v>
      </c>
      <c r="BJ29" s="55" t="s">
        <v>115</v>
      </c>
      <c r="BK29" s="55" t="s">
        <v>115</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v>3</v>
      </c>
      <c r="S30" s="55" t="s">
        <v>115</v>
      </c>
      <c r="T30" s="55" t="s">
        <v>115</v>
      </c>
      <c r="U30" s="55" t="s">
        <v>115</v>
      </c>
      <c r="V30" s="55">
        <v>0</v>
      </c>
      <c r="W30" s="55" t="s">
        <v>115</v>
      </c>
      <c r="X30" s="55" t="s">
        <v>115</v>
      </c>
      <c r="Y30" s="55">
        <v>0</v>
      </c>
      <c r="Z30" s="55" t="s">
        <v>115</v>
      </c>
      <c r="AA30" s="55" t="s">
        <v>115</v>
      </c>
      <c r="AB30" s="55" t="s">
        <v>115</v>
      </c>
      <c r="AC30" s="55">
        <v>0</v>
      </c>
      <c r="AD30" s="55" t="s">
        <v>115</v>
      </c>
      <c r="AE30" s="55" t="s">
        <v>115</v>
      </c>
      <c r="AF30" s="55">
        <v>1</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v>1</v>
      </c>
      <c r="BI30" s="55">
        <v>1</v>
      </c>
      <c r="BJ30" s="55" t="s">
        <v>115</v>
      </c>
      <c r="BK30" s="55" t="s">
        <v>115</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v>3</v>
      </c>
      <c r="S31" s="55" t="s">
        <v>115</v>
      </c>
      <c r="T31" s="55" t="s">
        <v>115</v>
      </c>
      <c r="U31" s="55" t="s">
        <v>115</v>
      </c>
      <c r="V31" s="55">
        <v>0</v>
      </c>
      <c r="W31" s="55" t="s">
        <v>115</v>
      </c>
      <c r="X31" s="55" t="s">
        <v>115</v>
      </c>
      <c r="Y31" s="55">
        <v>0</v>
      </c>
      <c r="Z31" s="55" t="s">
        <v>115</v>
      </c>
      <c r="AA31" s="55" t="s">
        <v>115</v>
      </c>
      <c r="AB31" s="55" t="s">
        <v>115</v>
      </c>
      <c r="AC31" s="55">
        <v>0</v>
      </c>
      <c r="AD31" s="55" t="s">
        <v>115</v>
      </c>
      <c r="AE31" s="55" t="s">
        <v>115</v>
      </c>
      <c r="AF31" s="55">
        <v>0</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v>0</v>
      </c>
      <c r="BI31" s="55">
        <v>0</v>
      </c>
      <c r="BJ31" s="55" t="s">
        <v>115</v>
      </c>
      <c r="BK31" s="55" t="s">
        <v>115</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v>5</v>
      </c>
      <c r="S32" s="55" t="s">
        <v>115</v>
      </c>
      <c r="T32" s="55" t="s">
        <v>115</v>
      </c>
      <c r="U32" s="55" t="s">
        <v>115</v>
      </c>
      <c r="V32" s="55">
        <v>0</v>
      </c>
      <c r="W32" s="55" t="s">
        <v>115</v>
      </c>
      <c r="X32" s="55" t="s">
        <v>115</v>
      </c>
      <c r="Y32" s="55">
        <v>0</v>
      </c>
      <c r="Z32" s="55" t="s">
        <v>115</v>
      </c>
      <c r="AA32" s="55" t="s">
        <v>115</v>
      </c>
      <c r="AB32" s="55" t="s">
        <v>115</v>
      </c>
      <c r="AC32" s="55">
        <v>0</v>
      </c>
      <c r="AD32" s="55" t="s">
        <v>115</v>
      </c>
      <c r="AE32" s="55" t="s">
        <v>115</v>
      </c>
      <c r="AF32" s="55">
        <v>1</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v>0</v>
      </c>
      <c r="BI32" s="55">
        <v>4</v>
      </c>
      <c r="BJ32" s="55" t="s">
        <v>115</v>
      </c>
      <c r="BK32" s="55" t="s">
        <v>115</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v>9</v>
      </c>
      <c r="S33" s="55" t="s">
        <v>115</v>
      </c>
      <c r="T33" s="55" t="s">
        <v>115</v>
      </c>
      <c r="U33" s="55" t="s">
        <v>115</v>
      </c>
      <c r="V33" s="55">
        <v>1</v>
      </c>
      <c r="W33" s="55" t="s">
        <v>115</v>
      </c>
      <c r="X33" s="55" t="s">
        <v>115</v>
      </c>
      <c r="Y33" s="55">
        <v>0</v>
      </c>
      <c r="Z33" s="55" t="s">
        <v>115</v>
      </c>
      <c r="AA33" s="55" t="s">
        <v>115</v>
      </c>
      <c r="AB33" s="55" t="s">
        <v>115</v>
      </c>
      <c r="AC33" s="55">
        <v>1</v>
      </c>
      <c r="AD33" s="55" t="s">
        <v>115</v>
      </c>
      <c r="AE33" s="55" t="s">
        <v>115</v>
      </c>
      <c r="AF33" s="55">
        <v>0</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v>3</v>
      </c>
      <c r="BI33" s="55">
        <v>1</v>
      </c>
      <c r="BJ33" s="55" t="s">
        <v>115</v>
      </c>
      <c r="BK33" s="55" t="s">
        <v>115</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v>7</v>
      </c>
      <c r="S34" s="55" t="s">
        <v>115</v>
      </c>
      <c r="T34" s="55" t="s">
        <v>115</v>
      </c>
      <c r="U34" s="55" t="s">
        <v>115</v>
      </c>
      <c r="V34" s="55">
        <v>0</v>
      </c>
      <c r="W34" s="55" t="s">
        <v>115</v>
      </c>
      <c r="X34" s="55" t="s">
        <v>115</v>
      </c>
      <c r="Y34" s="55">
        <v>0</v>
      </c>
      <c r="Z34" s="55" t="s">
        <v>115</v>
      </c>
      <c r="AA34" s="55" t="s">
        <v>115</v>
      </c>
      <c r="AB34" s="55" t="s">
        <v>115</v>
      </c>
      <c r="AC34" s="55">
        <v>1</v>
      </c>
      <c r="AD34" s="55" t="s">
        <v>115</v>
      </c>
      <c r="AE34" s="55" t="s">
        <v>115</v>
      </c>
      <c r="AF34" s="55">
        <v>1</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v>1</v>
      </c>
      <c r="BI34" s="55">
        <v>1</v>
      </c>
      <c r="BJ34" s="55" t="s">
        <v>115</v>
      </c>
      <c r="BK34" s="55" t="s">
        <v>115</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v>5</v>
      </c>
      <c r="S35" s="55" t="s">
        <v>115</v>
      </c>
      <c r="T35" s="55" t="s">
        <v>115</v>
      </c>
      <c r="U35" s="55" t="s">
        <v>115</v>
      </c>
      <c r="V35" s="55">
        <v>0</v>
      </c>
      <c r="W35" s="55" t="s">
        <v>115</v>
      </c>
      <c r="X35" s="55" t="s">
        <v>115</v>
      </c>
      <c r="Y35" s="55">
        <v>0</v>
      </c>
      <c r="Z35" s="55" t="s">
        <v>115</v>
      </c>
      <c r="AA35" s="55" t="s">
        <v>115</v>
      </c>
      <c r="AB35" s="55" t="s">
        <v>115</v>
      </c>
      <c r="AC35" s="55">
        <v>2</v>
      </c>
      <c r="AD35" s="55" t="s">
        <v>115</v>
      </c>
      <c r="AE35" s="55" t="s">
        <v>115</v>
      </c>
      <c r="AF35" s="55">
        <v>2</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v>1</v>
      </c>
      <c r="BI35" s="55">
        <v>0</v>
      </c>
      <c r="BJ35" s="55" t="s">
        <v>115</v>
      </c>
      <c r="BK35" s="55" t="s">
        <v>115</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v>3</v>
      </c>
      <c r="S36" s="55" t="s">
        <v>115</v>
      </c>
      <c r="T36" s="55" t="s">
        <v>115</v>
      </c>
      <c r="U36" s="55" t="s">
        <v>115</v>
      </c>
      <c r="V36" s="55">
        <v>0</v>
      </c>
      <c r="W36" s="55" t="s">
        <v>115</v>
      </c>
      <c r="X36" s="55" t="s">
        <v>115</v>
      </c>
      <c r="Y36" s="55">
        <v>0</v>
      </c>
      <c r="Z36" s="55" t="s">
        <v>115</v>
      </c>
      <c r="AA36" s="55" t="s">
        <v>115</v>
      </c>
      <c r="AB36" s="55" t="s">
        <v>115</v>
      </c>
      <c r="AC36" s="55">
        <v>1</v>
      </c>
      <c r="AD36" s="55" t="s">
        <v>115</v>
      </c>
      <c r="AE36" s="55" t="s">
        <v>115</v>
      </c>
      <c r="AF36" s="55">
        <v>1</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v>0</v>
      </c>
      <c r="BI36" s="55">
        <v>0</v>
      </c>
      <c r="BJ36" s="55" t="s">
        <v>115</v>
      </c>
      <c r="BK36" s="55" t="s">
        <v>115</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v>0</v>
      </c>
      <c r="S37" s="55" t="s">
        <v>115</v>
      </c>
      <c r="T37" s="55" t="s">
        <v>115</v>
      </c>
      <c r="U37" s="55" t="s">
        <v>115</v>
      </c>
      <c r="V37" s="55">
        <v>0</v>
      </c>
      <c r="W37" s="55" t="s">
        <v>115</v>
      </c>
      <c r="X37" s="55" t="s">
        <v>115</v>
      </c>
      <c r="Y37" s="55">
        <v>0</v>
      </c>
      <c r="Z37" s="55" t="s">
        <v>115</v>
      </c>
      <c r="AA37" s="55" t="s">
        <v>115</v>
      </c>
      <c r="AB37" s="55" t="s">
        <v>115</v>
      </c>
      <c r="AC37" s="55">
        <v>0</v>
      </c>
      <c r="AD37" s="55" t="s">
        <v>115</v>
      </c>
      <c r="AE37" s="55" t="s">
        <v>115</v>
      </c>
      <c r="AF37" s="55">
        <v>0</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v>0</v>
      </c>
      <c r="BI37" s="55">
        <v>0</v>
      </c>
      <c r="BJ37" s="55" t="s">
        <v>115</v>
      </c>
      <c r="BK37" s="55" t="s">
        <v>115</v>
      </c>
      <c r="BL37" s="55" t="s">
        <v>115</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FFFD-26AC-4BA5-B4CA-66DF1242E13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155</v>
      </c>
      <c r="K12" s="61"/>
      <c r="L12" s="61"/>
      <c r="M12" s="61"/>
      <c r="N12" s="61"/>
      <c r="O12" s="61"/>
      <c r="P12" s="61"/>
      <c r="Q12" s="60"/>
      <c r="R12" s="62" t="s">
        <v>157</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100</v>
      </c>
      <c r="J14" s="56" t="s">
        <v>145</v>
      </c>
      <c r="K14" s="56" t="s">
        <v>144</v>
      </c>
      <c r="L14" s="56" t="s">
        <v>143</v>
      </c>
      <c r="M14" s="56" t="s">
        <v>142</v>
      </c>
      <c r="N14" s="56" t="s">
        <v>141</v>
      </c>
      <c r="O14" s="56" t="s">
        <v>140</v>
      </c>
      <c r="P14" s="56" t="s">
        <v>139</v>
      </c>
      <c r="Q14" s="56" t="s">
        <v>100</v>
      </c>
      <c r="R14" s="56" t="s">
        <v>145</v>
      </c>
      <c r="S14" s="56" t="s">
        <v>144</v>
      </c>
      <c r="T14" s="56" t="s">
        <v>143</v>
      </c>
      <c r="U14" s="56" t="s">
        <v>142</v>
      </c>
      <c r="V14" s="56" t="s">
        <v>141</v>
      </c>
      <c r="W14" s="56" t="s">
        <v>140</v>
      </c>
      <c r="X14" s="56" t="s">
        <v>139</v>
      </c>
      <c r="Y14" s="56" t="s">
        <v>100</v>
      </c>
      <c r="Z14" s="56" t="s">
        <v>145</v>
      </c>
      <c r="AA14" s="56" t="s">
        <v>144</v>
      </c>
      <c r="AB14" s="56" t="s">
        <v>143</v>
      </c>
      <c r="AC14" s="56" t="s">
        <v>142</v>
      </c>
      <c r="AD14" s="56" t="s">
        <v>141</v>
      </c>
      <c r="AE14" s="56" t="s">
        <v>140</v>
      </c>
      <c r="AF14" s="56" t="s">
        <v>139</v>
      </c>
      <c r="AG14" s="56" t="s">
        <v>100</v>
      </c>
      <c r="AH14" s="56" t="s">
        <v>145</v>
      </c>
      <c r="AI14" s="56" t="s">
        <v>144</v>
      </c>
      <c r="AJ14" s="56" t="s">
        <v>143</v>
      </c>
      <c r="AK14" s="56" t="s">
        <v>142</v>
      </c>
      <c r="AL14" s="56" t="s">
        <v>141</v>
      </c>
      <c r="AM14" s="56" t="s">
        <v>140</v>
      </c>
      <c r="AN14" s="56" t="s">
        <v>139</v>
      </c>
      <c r="AO14" s="56" t="s">
        <v>100</v>
      </c>
      <c r="AP14" s="56" t="s">
        <v>145</v>
      </c>
      <c r="AQ14" s="56" t="s">
        <v>144</v>
      </c>
      <c r="AR14" s="56" t="s">
        <v>143</v>
      </c>
      <c r="AS14" s="56" t="s">
        <v>142</v>
      </c>
      <c r="AT14" s="56" t="s">
        <v>141</v>
      </c>
      <c r="AU14" s="56" t="s">
        <v>140</v>
      </c>
      <c r="AV14" s="56" t="s">
        <v>139</v>
      </c>
      <c r="AW14" s="56" t="s">
        <v>100</v>
      </c>
      <c r="AX14" s="56" t="s">
        <v>145</v>
      </c>
      <c r="AY14" s="56" t="s">
        <v>144</v>
      </c>
      <c r="AZ14" s="56" t="s">
        <v>143</v>
      </c>
      <c r="BA14" s="56" t="s">
        <v>142</v>
      </c>
      <c r="BB14" s="56" t="s">
        <v>141</v>
      </c>
      <c r="BC14" s="56" t="s">
        <v>140</v>
      </c>
      <c r="BD14" s="56" t="s">
        <v>139</v>
      </c>
      <c r="BE14" s="56" t="s">
        <v>100</v>
      </c>
      <c r="BF14" s="56" t="s">
        <v>145</v>
      </c>
      <c r="BG14" s="56" t="s">
        <v>144</v>
      </c>
      <c r="BH14" s="56" t="s">
        <v>143</v>
      </c>
      <c r="BI14" s="56" t="s">
        <v>142</v>
      </c>
      <c r="BJ14" s="56" t="s">
        <v>141</v>
      </c>
      <c r="BK14" s="56" t="s">
        <v>140</v>
      </c>
      <c r="BL14" s="56" t="s">
        <v>139</v>
      </c>
      <c r="BM14" s="56" t="s">
        <v>100</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v>7</v>
      </c>
      <c r="S15" s="55" t="s">
        <v>115</v>
      </c>
      <c r="T15" s="55" t="s">
        <v>115</v>
      </c>
      <c r="U15" s="55" t="s">
        <v>115</v>
      </c>
      <c r="V15" s="55">
        <v>18</v>
      </c>
      <c r="W15" s="55" t="s">
        <v>115</v>
      </c>
      <c r="X15" s="55" t="s">
        <v>115</v>
      </c>
      <c r="Y15" s="55">
        <v>0</v>
      </c>
      <c r="Z15" s="55" t="s">
        <v>115</v>
      </c>
      <c r="AA15" s="55" t="s">
        <v>115</v>
      </c>
      <c r="AB15" s="55" t="s">
        <v>115</v>
      </c>
      <c r="AC15" s="55">
        <v>60</v>
      </c>
      <c r="AD15" s="55" t="s">
        <v>115</v>
      </c>
      <c r="AE15" s="55" t="s">
        <v>115</v>
      </c>
      <c r="AF15" s="55">
        <v>27</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v>15</v>
      </c>
      <c r="BI15" s="55">
        <v>24</v>
      </c>
      <c r="BJ15" s="55" t="s">
        <v>115</v>
      </c>
      <c r="BK15" s="55" t="s">
        <v>115</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v>4</v>
      </c>
      <c r="S16" s="55" t="s">
        <v>115</v>
      </c>
      <c r="T16" s="55" t="s">
        <v>115</v>
      </c>
      <c r="U16" s="55" t="s">
        <v>115</v>
      </c>
      <c r="V16" s="55">
        <v>22</v>
      </c>
      <c r="W16" s="55" t="s">
        <v>115</v>
      </c>
      <c r="X16" s="55" t="s">
        <v>115</v>
      </c>
      <c r="Y16" s="55">
        <v>0</v>
      </c>
      <c r="Z16" s="55" t="s">
        <v>115</v>
      </c>
      <c r="AA16" s="55" t="s">
        <v>115</v>
      </c>
      <c r="AB16" s="55" t="s">
        <v>115</v>
      </c>
      <c r="AC16" s="55">
        <v>72</v>
      </c>
      <c r="AD16" s="55" t="s">
        <v>115</v>
      </c>
      <c r="AE16" s="55" t="s">
        <v>115</v>
      </c>
      <c r="AF16" s="55">
        <v>41</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v>19</v>
      </c>
      <c r="BI16" s="55">
        <v>22</v>
      </c>
      <c r="BJ16" s="55" t="s">
        <v>115</v>
      </c>
      <c r="BK16" s="55" t="s">
        <v>115</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v>9</v>
      </c>
      <c r="S17" s="55" t="s">
        <v>115</v>
      </c>
      <c r="T17" s="55" t="s">
        <v>115</v>
      </c>
      <c r="U17" s="55" t="s">
        <v>115</v>
      </c>
      <c r="V17" s="55">
        <v>25</v>
      </c>
      <c r="W17" s="55" t="s">
        <v>115</v>
      </c>
      <c r="X17" s="55" t="s">
        <v>115</v>
      </c>
      <c r="Y17" s="55">
        <v>0</v>
      </c>
      <c r="Z17" s="55" t="s">
        <v>115</v>
      </c>
      <c r="AA17" s="55" t="s">
        <v>115</v>
      </c>
      <c r="AB17" s="55" t="s">
        <v>115</v>
      </c>
      <c r="AC17" s="55">
        <v>92</v>
      </c>
      <c r="AD17" s="55" t="s">
        <v>115</v>
      </c>
      <c r="AE17" s="55" t="s">
        <v>115</v>
      </c>
      <c r="AF17" s="55">
        <v>56</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v>30</v>
      </c>
      <c r="BI17" s="55">
        <v>32</v>
      </c>
      <c r="BJ17" s="55" t="s">
        <v>115</v>
      </c>
      <c r="BK17" s="55" t="s">
        <v>115</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v>17</v>
      </c>
      <c r="S18" s="55" t="s">
        <v>115</v>
      </c>
      <c r="T18" s="55" t="s">
        <v>115</v>
      </c>
      <c r="U18" s="55" t="s">
        <v>115</v>
      </c>
      <c r="V18" s="55">
        <v>15</v>
      </c>
      <c r="W18" s="55" t="s">
        <v>115</v>
      </c>
      <c r="X18" s="55" t="s">
        <v>115</v>
      </c>
      <c r="Y18" s="55">
        <v>0</v>
      </c>
      <c r="Z18" s="55" t="s">
        <v>115</v>
      </c>
      <c r="AA18" s="55" t="s">
        <v>115</v>
      </c>
      <c r="AB18" s="55" t="s">
        <v>115</v>
      </c>
      <c r="AC18" s="55">
        <v>75</v>
      </c>
      <c r="AD18" s="55" t="s">
        <v>115</v>
      </c>
      <c r="AE18" s="55" t="s">
        <v>115</v>
      </c>
      <c r="AF18" s="55">
        <v>49</v>
      </c>
      <c r="AG18" s="55">
        <v>1</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v>33</v>
      </c>
      <c r="BI18" s="55">
        <v>32</v>
      </c>
      <c r="BJ18" s="55" t="s">
        <v>115</v>
      </c>
      <c r="BK18" s="55" t="s">
        <v>115</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v>12</v>
      </c>
      <c r="S19" s="55" t="s">
        <v>115</v>
      </c>
      <c r="T19" s="55" t="s">
        <v>115</v>
      </c>
      <c r="U19" s="55" t="s">
        <v>115</v>
      </c>
      <c r="V19" s="55">
        <v>29</v>
      </c>
      <c r="W19" s="55" t="s">
        <v>115</v>
      </c>
      <c r="X19" s="55" t="s">
        <v>115</v>
      </c>
      <c r="Y19" s="55">
        <v>0</v>
      </c>
      <c r="Z19" s="55" t="s">
        <v>115</v>
      </c>
      <c r="AA19" s="55" t="s">
        <v>115</v>
      </c>
      <c r="AB19" s="55" t="s">
        <v>115</v>
      </c>
      <c r="AC19" s="55">
        <v>101</v>
      </c>
      <c r="AD19" s="55" t="s">
        <v>115</v>
      </c>
      <c r="AE19" s="55" t="s">
        <v>115</v>
      </c>
      <c r="AF19" s="55">
        <v>59</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v>43</v>
      </c>
      <c r="BI19" s="55">
        <v>37</v>
      </c>
      <c r="BJ19" s="55" t="s">
        <v>115</v>
      </c>
      <c r="BK19" s="55" t="s">
        <v>115</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v>12</v>
      </c>
      <c r="S20" s="55" t="s">
        <v>115</v>
      </c>
      <c r="T20" s="55" t="s">
        <v>115</v>
      </c>
      <c r="U20" s="55" t="s">
        <v>115</v>
      </c>
      <c r="V20" s="55">
        <v>20</v>
      </c>
      <c r="W20" s="55" t="s">
        <v>115</v>
      </c>
      <c r="X20" s="55" t="s">
        <v>115</v>
      </c>
      <c r="Y20" s="55">
        <v>0</v>
      </c>
      <c r="Z20" s="55" t="s">
        <v>115</v>
      </c>
      <c r="AA20" s="55" t="s">
        <v>115</v>
      </c>
      <c r="AB20" s="55" t="s">
        <v>115</v>
      </c>
      <c r="AC20" s="55">
        <v>108</v>
      </c>
      <c r="AD20" s="55" t="s">
        <v>115</v>
      </c>
      <c r="AE20" s="55" t="s">
        <v>115</v>
      </c>
      <c r="AF20" s="55">
        <v>64</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v>42</v>
      </c>
      <c r="BI20" s="55">
        <v>27</v>
      </c>
      <c r="BJ20" s="55" t="s">
        <v>115</v>
      </c>
      <c r="BK20" s="55" t="s">
        <v>115</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v>25</v>
      </c>
      <c r="S21" s="55" t="s">
        <v>115</v>
      </c>
      <c r="T21" s="55" t="s">
        <v>115</v>
      </c>
      <c r="U21" s="55" t="s">
        <v>115</v>
      </c>
      <c r="V21" s="55">
        <v>41</v>
      </c>
      <c r="W21" s="55" t="s">
        <v>115</v>
      </c>
      <c r="X21" s="55" t="s">
        <v>115</v>
      </c>
      <c r="Y21" s="55">
        <v>0</v>
      </c>
      <c r="Z21" s="55" t="s">
        <v>115</v>
      </c>
      <c r="AA21" s="55" t="s">
        <v>115</v>
      </c>
      <c r="AB21" s="55" t="s">
        <v>115</v>
      </c>
      <c r="AC21" s="55">
        <v>96</v>
      </c>
      <c r="AD21" s="55" t="s">
        <v>115</v>
      </c>
      <c r="AE21" s="55" t="s">
        <v>115</v>
      </c>
      <c r="AF21" s="55">
        <v>59</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v>48</v>
      </c>
      <c r="BI21" s="55">
        <v>37</v>
      </c>
      <c r="BJ21" s="55" t="s">
        <v>115</v>
      </c>
      <c r="BK21" s="55" t="s">
        <v>115</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v>22</v>
      </c>
      <c r="S22" s="55" t="s">
        <v>115</v>
      </c>
      <c r="T22" s="55" t="s">
        <v>115</v>
      </c>
      <c r="U22" s="55" t="s">
        <v>115</v>
      </c>
      <c r="V22" s="55">
        <v>16</v>
      </c>
      <c r="W22" s="55" t="s">
        <v>115</v>
      </c>
      <c r="X22" s="55" t="s">
        <v>115</v>
      </c>
      <c r="Y22" s="55">
        <v>0</v>
      </c>
      <c r="Z22" s="55" t="s">
        <v>115</v>
      </c>
      <c r="AA22" s="55" t="s">
        <v>115</v>
      </c>
      <c r="AB22" s="55" t="s">
        <v>115</v>
      </c>
      <c r="AC22" s="55">
        <v>61</v>
      </c>
      <c r="AD22" s="55" t="s">
        <v>115</v>
      </c>
      <c r="AE22" s="55" t="s">
        <v>115</v>
      </c>
      <c r="AF22" s="55">
        <v>40</v>
      </c>
      <c r="AG22" s="55">
        <v>1</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v>35</v>
      </c>
      <c r="BI22" s="55">
        <v>42</v>
      </c>
      <c r="BJ22" s="55" t="s">
        <v>115</v>
      </c>
      <c r="BK22" s="55" t="s">
        <v>115</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v>0</v>
      </c>
      <c r="S23" s="55" t="s">
        <v>115</v>
      </c>
      <c r="T23" s="55" t="s">
        <v>115</v>
      </c>
      <c r="U23" s="55" t="s">
        <v>115</v>
      </c>
      <c r="V23" s="55">
        <v>0</v>
      </c>
      <c r="W23" s="55" t="s">
        <v>115</v>
      </c>
      <c r="X23" s="55" t="s">
        <v>115</v>
      </c>
      <c r="Y23" s="55">
        <v>0</v>
      </c>
      <c r="Z23" s="55" t="s">
        <v>115</v>
      </c>
      <c r="AA23" s="55" t="s">
        <v>115</v>
      </c>
      <c r="AB23" s="55" t="s">
        <v>115</v>
      </c>
      <c r="AC23" s="55">
        <v>0</v>
      </c>
      <c r="AD23" s="55" t="s">
        <v>115</v>
      </c>
      <c r="AE23" s="55" t="s">
        <v>115</v>
      </c>
      <c r="AF23" s="55">
        <v>0</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v>0</v>
      </c>
      <c r="BI23" s="55">
        <v>0</v>
      </c>
      <c r="BJ23" s="55" t="s">
        <v>115</v>
      </c>
      <c r="BK23" s="55" t="s">
        <v>115</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v>27</v>
      </c>
      <c r="S24" s="55" t="s">
        <v>115</v>
      </c>
      <c r="T24" s="55" t="s">
        <v>115</v>
      </c>
      <c r="U24" s="55" t="s">
        <v>115</v>
      </c>
      <c r="V24" s="55">
        <v>18</v>
      </c>
      <c r="W24" s="55" t="s">
        <v>115</v>
      </c>
      <c r="X24" s="55" t="s">
        <v>115</v>
      </c>
      <c r="Y24" s="55">
        <v>0</v>
      </c>
      <c r="Z24" s="55" t="s">
        <v>115</v>
      </c>
      <c r="AA24" s="55" t="s">
        <v>115</v>
      </c>
      <c r="AB24" s="55" t="s">
        <v>115</v>
      </c>
      <c r="AC24" s="55">
        <v>49</v>
      </c>
      <c r="AD24" s="55" t="s">
        <v>115</v>
      </c>
      <c r="AE24" s="55" t="s">
        <v>115</v>
      </c>
      <c r="AF24" s="55">
        <v>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v>14</v>
      </c>
      <c r="BI24" s="55">
        <v>37</v>
      </c>
      <c r="BJ24" s="55" t="s">
        <v>115</v>
      </c>
      <c r="BK24" s="55" t="s">
        <v>115</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v>23</v>
      </c>
      <c r="S25" s="55" t="s">
        <v>115</v>
      </c>
      <c r="T25" s="55" t="s">
        <v>115</v>
      </c>
      <c r="U25" s="55" t="s">
        <v>115</v>
      </c>
      <c r="V25" s="55">
        <v>12</v>
      </c>
      <c r="W25" s="55" t="s">
        <v>115</v>
      </c>
      <c r="X25" s="55" t="s">
        <v>115</v>
      </c>
      <c r="Y25" s="55">
        <v>0</v>
      </c>
      <c r="Z25" s="55" t="s">
        <v>115</v>
      </c>
      <c r="AA25" s="55" t="s">
        <v>115</v>
      </c>
      <c r="AB25" s="55" t="s">
        <v>115</v>
      </c>
      <c r="AC25" s="55">
        <v>29</v>
      </c>
      <c r="AD25" s="55" t="s">
        <v>115</v>
      </c>
      <c r="AE25" s="55" t="s">
        <v>115</v>
      </c>
      <c r="AF25" s="55">
        <v>13</v>
      </c>
      <c r="AG25" s="55">
        <v>2</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v>11</v>
      </c>
      <c r="BI25" s="55">
        <v>29</v>
      </c>
      <c r="BJ25" s="55" t="s">
        <v>115</v>
      </c>
      <c r="BK25" s="55" t="s">
        <v>115</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v>23</v>
      </c>
      <c r="S26" s="55" t="s">
        <v>115</v>
      </c>
      <c r="T26" s="55" t="s">
        <v>115</v>
      </c>
      <c r="U26" s="55" t="s">
        <v>115</v>
      </c>
      <c r="V26" s="55">
        <v>12</v>
      </c>
      <c r="W26" s="55" t="s">
        <v>115</v>
      </c>
      <c r="X26" s="55" t="s">
        <v>115</v>
      </c>
      <c r="Y26" s="55">
        <v>0</v>
      </c>
      <c r="Z26" s="55" t="s">
        <v>115</v>
      </c>
      <c r="AA26" s="55" t="s">
        <v>115</v>
      </c>
      <c r="AB26" s="55" t="s">
        <v>115</v>
      </c>
      <c r="AC26" s="55">
        <v>44</v>
      </c>
      <c r="AD26" s="55" t="s">
        <v>115</v>
      </c>
      <c r="AE26" s="55" t="s">
        <v>115</v>
      </c>
      <c r="AF26" s="55">
        <v>25</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v>19</v>
      </c>
      <c r="BI26" s="55">
        <v>28</v>
      </c>
      <c r="BJ26" s="55" t="s">
        <v>115</v>
      </c>
      <c r="BK26" s="55" t="s">
        <v>115</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v>27</v>
      </c>
      <c r="S27" s="55" t="s">
        <v>115</v>
      </c>
      <c r="T27" s="55" t="s">
        <v>115</v>
      </c>
      <c r="U27" s="55" t="s">
        <v>115</v>
      </c>
      <c r="V27" s="55">
        <v>15</v>
      </c>
      <c r="W27" s="55" t="s">
        <v>115</v>
      </c>
      <c r="X27" s="55" t="s">
        <v>115</v>
      </c>
      <c r="Y27" s="55">
        <v>0</v>
      </c>
      <c r="Z27" s="55" t="s">
        <v>115</v>
      </c>
      <c r="AA27" s="55" t="s">
        <v>115</v>
      </c>
      <c r="AB27" s="55" t="s">
        <v>115</v>
      </c>
      <c r="AC27" s="55">
        <v>46</v>
      </c>
      <c r="AD27" s="55" t="s">
        <v>115</v>
      </c>
      <c r="AE27" s="55" t="s">
        <v>115</v>
      </c>
      <c r="AF27" s="55">
        <v>22</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v>24</v>
      </c>
      <c r="BI27" s="55">
        <v>30</v>
      </c>
      <c r="BJ27" s="55" t="s">
        <v>115</v>
      </c>
      <c r="BK27" s="55" t="s">
        <v>115</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v>0</v>
      </c>
      <c r="S28" s="55" t="s">
        <v>115</v>
      </c>
      <c r="T28" s="55" t="s">
        <v>115</v>
      </c>
      <c r="U28" s="55" t="s">
        <v>115</v>
      </c>
      <c r="V28" s="55">
        <v>0</v>
      </c>
      <c r="W28" s="55" t="s">
        <v>115</v>
      </c>
      <c r="X28" s="55" t="s">
        <v>115</v>
      </c>
      <c r="Y28" s="55">
        <v>0</v>
      </c>
      <c r="Z28" s="55" t="s">
        <v>115</v>
      </c>
      <c r="AA28" s="55" t="s">
        <v>115</v>
      </c>
      <c r="AB28" s="55" t="s">
        <v>115</v>
      </c>
      <c r="AC28" s="55">
        <v>0</v>
      </c>
      <c r="AD28" s="55" t="s">
        <v>115</v>
      </c>
      <c r="AE28" s="55" t="s">
        <v>115</v>
      </c>
      <c r="AF28" s="55">
        <v>0</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v>0</v>
      </c>
      <c r="BI28" s="55">
        <v>0</v>
      </c>
      <c r="BJ28" s="55" t="s">
        <v>115</v>
      </c>
      <c r="BK28" s="55" t="s">
        <v>115</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v>42</v>
      </c>
      <c r="S29" s="55" t="s">
        <v>115</v>
      </c>
      <c r="T29" s="55" t="s">
        <v>115</v>
      </c>
      <c r="U29" s="55" t="s">
        <v>115</v>
      </c>
      <c r="V29" s="55">
        <v>24</v>
      </c>
      <c r="W29" s="55" t="s">
        <v>115</v>
      </c>
      <c r="X29" s="55" t="s">
        <v>115</v>
      </c>
      <c r="Y29" s="55">
        <v>0</v>
      </c>
      <c r="Z29" s="55" t="s">
        <v>115</v>
      </c>
      <c r="AA29" s="55" t="s">
        <v>115</v>
      </c>
      <c r="AB29" s="55" t="s">
        <v>115</v>
      </c>
      <c r="AC29" s="55">
        <v>47</v>
      </c>
      <c r="AD29" s="55" t="s">
        <v>115</v>
      </c>
      <c r="AE29" s="55" t="s">
        <v>115</v>
      </c>
      <c r="AF29" s="55">
        <v>25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v>36</v>
      </c>
      <c r="BI29" s="55">
        <v>56</v>
      </c>
      <c r="BJ29" s="55" t="s">
        <v>115</v>
      </c>
      <c r="BK29" s="55" t="s">
        <v>115</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v>37</v>
      </c>
      <c r="S30" s="55" t="s">
        <v>115</v>
      </c>
      <c r="T30" s="55" t="s">
        <v>115</v>
      </c>
      <c r="U30" s="55" t="s">
        <v>115</v>
      </c>
      <c r="V30" s="55">
        <v>18</v>
      </c>
      <c r="W30" s="55" t="s">
        <v>115</v>
      </c>
      <c r="X30" s="55" t="s">
        <v>115</v>
      </c>
      <c r="Y30" s="55">
        <v>0</v>
      </c>
      <c r="Z30" s="55" t="s">
        <v>115</v>
      </c>
      <c r="AA30" s="55" t="s">
        <v>115</v>
      </c>
      <c r="AB30" s="55" t="s">
        <v>115</v>
      </c>
      <c r="AC30" s="55">
        <v>51</v>
      </c>
      <c r="AD30" s="55" t="s">
        <v>115</v>
      </c>
      <c r="AE30" s="55" t="s">
        <v>115</v>
      </c>
      <c r="AF30" s="55">
        <v>32</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v>38</v>
      </c>
      <c r="BI30" s="55">
        <v>58</v>
      </c>
      <c r="BJ30" s="55" t="s">
        <v>115</v>
      </c>
      <c r="BK30" s="55" t="s">
        <v>115</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v>60</v>
      </c>
      <c r="S31" s="55" t="s">
        <v>115</v>
      </c>
      <c r="T31" s="55" t="s">
        <v>115</v>
      </c>
      <c r="U31" s="55" t="s">
        <v>115</v>
      </c>
      <c r="V31" s="55">
        <v>35</v>
      </c>
      <c r="W31" s="55" t="s">
        <v>115</v>
      </c>
      <c r="X31" s="55" t="s">
        <v>115</v>
      </c>
      <c r="Y31" s="55">
        <v>0</v>
      </c>
      <c r="Z31" s="55" t="s">
        <v>115</v>
      </c>
      <c r="AA31" s="55" t="s">
        <v>115</v>
      </c>
      <c r="AB31" s="55" t="s">
        <v>115</v>
      </c>
      <c r="AC31" s="55">
        <v>65</v>
      </c>
      <c r="AD31" s="55" t="s">
        <v>115</v>
      </c>
      <c r="AE31" s="55" t="s">
        <v>115</v>
      </c>
      <c r="AF31" s="55">
        <v>30</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v>37</v>
      </c>
      <c r="BI31" s="55">
        <v>68</v>
      </c>
      <c r="BJ31" s="55" t="s">
        <v>115</v>
      </c>
      <c r="BK31" s="55" t="s">
        <v>115</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v>58</v>
      </c>
      <c r="S32" s="55" t="s">
        <v>115</v>
      </c>
      <c r="T32" s="55" t="s">
        <v>115</v>
      </c>
      <c r="U32" s="55" t="s">
        <v>115</v>
      </c>
      <c r="V32" s="55">
        <v>27</v>
      </c>
      <c r="W32" s="55" t="s">
        <v>115</v>
      </c>
      <c r="X32" s="55" t="s">
        <v>115</v>
      </c>
      <c r="Y32" s="55">
        <v>0</v>
      </c>
      <c r="Z32" s="55" t="s">
        <v>115</v>
      </c>
      <c r="AA32" s="55" t="s">
        <v>115</v>
      </c>
      <c r="AB32" s="55" t="s">
        <v>115</v>
      </c>
      <c r="AC32" s="55">
        <v>55</v>
      </c>
      <c r="AD32" s="55" t="s">
        <v>115</v>
      </c>
      <c r="AE32" s="55" t="s">
        <v>115</v>
      </c>
      <c r="AF32" s="55">
        <v>26</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v>64</v>
      </c>
      <c r="BI32" s="55">
        <v>88</v>
      </c>
      <c r="BJ32" s="55" t="s">
        <v>115</v>
      </c>
      <c r="BK32" s="55" t="s">
        <v>115</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v>57</v>
      </c>
      <c r="S33" s="55" t="s">
        <v>115</v>
      </c>
      <c r="T33" s="55" t="s">
        <v>115</v>
      </c>
      <c r="U33" s="55" t="s">
        <v>115</v>
      </c>
      <c r="V33" s="55">
        <v>26</v>
      </c>
      <c r="W33" s="55" t="s">
        <v>115</v>
      </c>
      <c r="X33" s="55" t="s">
        <v>115</v>
      </c>
      <c r="Y33" s="55">
        <v>0</v>
      </c>
      <c r="Z33" s="55" t="s">
        <v>115</v>
      </c>
      <c r="AA33" s="55" t="s">
        <v>115</v>
      </c>
      <c r="AB33" s="55" t="s">
        <v>115</v>
      </c>
      <c r="AC33" s="55">
        <v>61</v>
      </c>
      <c r="AD33" s="55" t="s">
        <v>115</v>
      </c>
      <c r="AE33" s="55" t="s">
        <v>115</v>
      </c>
      <c r="AF33" s="55">
        <v>24</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v>66</v>
      </c>
      <c r="BI33" s="55">
        <v>55</v>
      </c>
      <c r="BJ33" s="55" t="s">
        <v>115</v>
      </c>
      <c r="BK33" s="55" t="s">
        <v>115</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v>62</v>
      </c>
      <c r="S34" s="55" t="s">
        <v>115</v>
      </c>
      <c r="T34" s="55" t="s">
        <v>115</v>
      </c>
      <c r="U34" s="55" t="s">
        <v>115</v>
      </c>
      <c r="V34" s="55">
        <v>28</v>
      </c>
      <c r="W34" s="55" t="s">
        <v>115</v>
      </c>
      <c r="X34" s="55" t="s">
        <v>115</v>
      </c>
      <c r="Y34" s="55">
        <v>0</v>
      </c>
      <c r="Z34" s="55" t="s">
        <v>115</v>
      </c>
      <c r="AA34" s="55" t="s">
        <v>115</v>
      </c>
      <c r="AB34" s="55" t="s">
        <v>115</v>
      </c>
      <c r="AC34" s="55">
        <v>68</v>
      </c>
      <c r="AD34" s="55" t="s">
        <v>115</v>
      </c>
      <c r="AE34" s="55" t="s">
        <v>115</v>
      </c>
      <c r="AF34" s="55">
        <v>20</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v>40</v>
      </c>
      <c r="BI34" s="55">
        <v>65</v>
      </c>
      <c r="BJ34" s="55" t="s">
        <v>115</v>
      </c>
      <c r="BK34" s="55" t="s">
        <v>115</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v>67</v>
      </c>
      <c r="S35" s="55" t="s">
        <v>115</v>
      </c>
      <c r="T35" s="55" t="s">
        <v>115</v>
      </c>
      <c r="U35" s="55" t="s">
        <v>115</v>
      </c>
      <c r="V35" s="55">
        <v>25</v>
      </c>
      <c r="W35" s="55" t="s">
        <v>115</v>
      </c>
      <c r="X35" s="55" t="s">
        <v>115</v>
      </c>
      <c r="Y35" s="55">
        <v>0</v>
      </c>
      <c r="Z35" s="55" t="s">
        <v>115</v>
      </c>
      <c r="AA35" s="55" t="s">
        <v>115</v>
      </c>
      <c r="AB35" s="55" t="s">
        <v>115</v>
      </c>
      <c r="AC35" s="55">
        <v>57</v>
      </c>
      <c r="AD35" s="55" t="s">
        <v>115</v>
      </c>
      <c r="AE35" s="55" t="s">
        <v>115</v>
      </c>
      <c r="AF35" s="55">
        <v>25</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v>60</v>
      </c>
      <c r="BI35" s="55">
        <v>85</v>
      </c>
      <c r="BJ35" s="55" t="s">
        <v>115</v>
      </c>
      <c r="BK35" s="55" t="s">
        <v>115</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v>68</v>
      </c>
      <c r="S36" s="55" t="s">
        <v>115</v>
      </c>
      <c r="T36" s="55" t="s">
        <v>115</v>
      </c>
      <c r="U36" s="55" t="s">
        <v>115</v>
      </c>
      <c r="V36" s="55">
        <v>19</v>
      </c>
      <c r="W36" s="55" t="s">
        <v>115</v>
      </c>
      <c r="X36" s="55" t="s">
        <v>115</v>
      </c>
      <c r="Y36" s="55">
        <v>0</v>
      </c>
      <c r="Z36" s="55" t="s">
        <v>115</v>
      </c>
      <c r="AA36" s="55" t="s">
        <v>115</v>
      </c>
      <c r="AB36" s="55" t="s">
        <v>115</v>
      </c>
      <c r="AC36" s="55">
        <v>60</v>
      </c>
      <c r="AD36" s="55" t="s">
        <v>115</v>
      </c>
      <c r="AE36" s="55" t="s">
        <v>115</v>
      </c>
      <c r="AF36" s="55">
        <v>24</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v>26</v>
      </c>
      <c r="BI36" s="55">
        <v>63</v>
      </c>
      <c r="BJ36" s="55" t="s">
        <v>115</v>
      </c>
      <c r="BK36" s="55" t="s">
        <v>115</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v>0</v>
      </c>
      <c r="S37" s="55" t="s">
        <v>115</v>
      </c>
      <c r="T37" s="55" t="s">
        <v>115</v>
      </c>
      <c r="U37" s="55" t="s">
        <v>115</v>
      </c>
      <c r="V37" s="55">
        <v>0</v>
      </c>
      <c r="W37" s="55" t="s">
        <v>115</v>
      </c>
      <c r="X37" s="55" t="s">
        <v>115</v>
      </c>
      <c r="Y37" s="55">
        <v>0</v>
      </c>
      <c r="Z37" s="55" t="s">
        <v>115</v>
      </c>
      <c r="AA37" s="55" t="s">
        <v>115</v>
      </c>
      <c r="AB37" s="55" t="s">
        <v>115</v>
      </c>
      <c r="AC37" s="55">
        <v>0</v>
      </c>
      <c r="AD37" s="55" t="s">
        <v>115</v>
      </c>
      <c r="AE37" s="55" t="s">
        <v>115</v>
      </c>
      <c r="AF37" s="55">
        <v>0</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v>1</v>
      </c>
      <c r="BI37" s="55">
        <v>0</v>
      </c>
      <c r="BJ37" s="55" t="s">
        <v>115</v>
      </c>
      <c r="BK37" s="55" t="s">
        <v>115</v>
      </c>
      <c r="BL37" s="55" t="s">
        <v>115</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2021-12-21T21:59:22Z</dcterms:modified>
</cp:coreProperties>
</file>