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
    </mc:Choice>
  </mc:AlternateContent>
  <xr:revisionPtr revIDLastSave="0" documentId="13_ncr:1_{682F4E09-472C-41AC-8220-4D8322DEAFF2}" xr6:coauthVersionLast="46" xr6:coauthVersionMax="46"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Q200" i="6" s="1"/>
  <c r="L303" i="6"/>
  <c r="L271" i="6"/>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Q269" i="6" s="1"/>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Q278" i="6" s="1"/>
  <c r="L216" i="6"/>
  <c r="L215" i="6"/>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L99" i="6"/>
  <c r="Q99" i="6" s="1"/>
  <c r="L218" i="6"/>
  <c r="Q218" i="6" s="1"/>
  <c r="Q301" i="6"/>
  <c r="Q293" i="6"/>
  <c r="Q277" i="6"/>
  <c r="Q261" i="6"/>
  <c r="Q253" i="6"/>
  <c r="Q237" i="6"/>
  <c r="Q173" i="6"/>
  <c r="Q117" i="6"/>
  <c r="Q109" i="6"/>
  <c r="Q243" i="6"/>
  <c r="Q227" i="6"/>
  <c r="Q219" i="6"/>
  <c r="Q203" i="6"/>
  <c r="Q187" i="6"/>
  <c r="Q163" i="6"/>
  <c r="Q155" i="6"/>
  <c r="Q139" i="6"/>
  <c r="Q115" i="6"/>
  <c r="Q107" i="6"/>
  <c r="Q75" i="6"/>
  <c r="Q282" i="6"/>
  <c r="Q226" i="6"/>
  <c r="Q202" i="6"/>
  <c r="Q162" i="6"/>
  <c r="Q106" i="6"/>
  <c r="Q50" i="6"/>
  <c r="Q280" i="6"/>
  <c r="Q268" i="6"/>
  <c r="Q216" i="6"/>
  <c r="Q177" i="6"/>
  <c r="Q140" i="6"/>
  <c r="Q88" i="6"/>
  <c r="Q76" i="6"/>
  <c r="Q41" i="6"/>
  <c r="Q276" i="6"/>
  <c r="Q110" i="6"/>
  <c r="Q71" i="6"/>
  <c r="Q300" i="6"/>
  <c r="Q215" i="6"/>
  <c r="Q190" i="6"/>
  <c r="Q137" i="6"/>
  <c r="Q73" i="6"/>
  <c r="Q48" i="6"/>
  <c r="Q302" i="6"/>
  <c r="Q263" i="6"/>
  <c r="Q238" i="6"/>
  <c r="Q199" i="6"/>
  <c r="Q135" i="6"/>
  <c r="Q96" i="6"/>
  <c r="Q57" i="6"/>
  <c r="Q287" i="6"/>
  <c r="Q248" i="6"/>
  <c r="Q303" i="6"/>
  <c r="Q239" i="6"/>
  <c r="Q225" i="6"/>
  <c r="Q175" i="6"/>
  <c r="Q150" i="6"/>
  <c r="Q111" i="6"/>
  <c r="Q97" i="6"/>
  <c r="Q86" i="6"/>
  <c r="Q288" i="6"/>
  <c r="Q224" i="6"/>
  <c r="Q185" i="6"/>
  <c r="Q160" i="6"/>
  <c r="Q46" i="6"/>
  <c r="Q272" i="6"/>
  <c r="Q244" i="6"/>
  <c r="Q81" i="6"/>
  <c r="Q271" i="6"/>
  <c r="Q233" i="6"/>
  <c r="Q183" i="6"/>
  <c r="Q132" i="6"/>
  <c r="Q105" i="6"/>
  <c r="Q286" i="6"/>
  <c r="Q256" i="6"/>
  <c r="Q196" i="6"/>
  <c r="Q94" i="6"/>
  <c r="Q168" i="6"/>
  <c r="Q118" i="6"/>
  <c r="Q246" i="6"/>
  <c r="Q116" i="6"/>
  <c r="Q64" i="6"/>
  <c r="Q95" i="6"/>
  <c r="Q223" i="6"/>
  <c r="Q296" i="6"/>
  <c r="Q78" i="6"/>
  <c r="Q198" i="6"/>
  <c r="Q54" i="6"/>
  <c r="Q104" i="6"/>
  <c r="H8" i="6"/>
  <c r="B4" i="7" s="1"/>
  <c r="O6" i="6"/>
  <c r="I66" i="4" l="1"/>
  <c r="I146" i="4"/>
  <c r="I226" i="4"/>
  <c r="I306" i="4"/>
  <c r="I6" i="4"/>
  <c r="I86" i="4"/>
  <c r="I166" i="4"/>
  <c r="I246" i="4"/>
  <c r="I326" i="4"/>
  <c r="I26" i="4"/>
  <c r="I106" i="4"/>
  <c r="I186" i="4"/>
  <c r="I266" i="4"/>
  <c r="I46" i="4"/>
  <c r="I126" i="4"/>
  <c r="I206" i="4"/>
  <c r="I286" i="4"/>
  <c r="I346" i="4"/>
  <c r="I18" i="4"/>
  <c r="I98" i="4"/>
  <c r="I178" i="4"/>
  <c r="I258" i="4"/>
  <c r="I338" i="4"/>
  <c r="I38" i="4"/>
  <c r="I118" i="4"/>
  <c r="I198" i="4"/>
  <c r="I278" i="4"/>
  <c r="I358" i="4"/>
  <c r="I58" i="4"/>
  <c r="I138" i="4"/>
  <c r="I218" i="4"/>
  <c r="I298" i="4"/>
  <c r="I78" i="4"/>
  <c r="I158" i="4"/>
  <c r="I238" i="4"/>
  <c r="I318" i="4"/>
  <c r="I63" i="4"/>
  <c r="I143" i="4"/>
  <c r="I3" i="4"/>
  <c r="I83" i="4"/>
  <c r="I163" i="4"/>
  <c r="I23" i="4"/>
  <c r="I103" i="4"/>
  <c r="I43" i="4"/>
  <c r="I123" i="4"/>
  <c r="I183" i="4"/>
  <c r="I263" i="4"/>
  <c r="I203" i="4"/>
  <c r="I283" i="4"/>
  <c r="I223" i="4"/>
  <c r="I243" i="4"/>
  <c r="I303" i="4"/>
  <c r="I323" i="4"/>
  <c r="I343" i="4"/>
  <c r="I25" i="4"/>
  <c r="I105" i="4"/>
  <c r="I185" i="4"/>
  <c r="I45" i="4"/>
  <c r="I125" i="4"/>
  <c r="I205" i="4"/>
  <c r="I285" i="4"/>
  <c r="I65" i="4"/>
  <c r="I145" i="4"/>
  <c r="I5" i="4"/>
  <c r="I85" i="4"/>
  <c r="I165" i="4"/>
  <c r="I245" i="4"/>
  <c r="I325" i="4"/>
  <c r="I345" i="4"/>
  <c r="I225" i="4"/>
  <c r="I305" i="4"/>
  <c r="I265" i="4"/>
  <c r="I73" i="4"/>
  <c r="I153" i="4"/>
  <c r="I13" i="4"/>
  <c r="I93" i="4"/>
  <c r="I173" i="4"/>
  <c r="I253" i="4"/>
  <c r="I353" i="4"/>
  <c r="I33" i="4"/>
  <c r="I113" i="4"/>
  <c r="I193" i="4"/>
  <c r="I53" i="4"/>
  <c r="I133" i="4"/>
  <c r="I213" i="4"/>
  <c r="I293" i="4"/>
  <c r="I273" i="4"/>
  <c r="I313" i="4"/>
  <c r="I333" i="4"/>
  <c r="I233" i="4"/>
  <c r="I50" i="4"/>
  <c r="I130" i="4"/>
  <c r="I210" i="4"/>
  <c r="I290" i="4"/>
  <c r="I70" i="4"/>
  <c r="I150" i="4"/>
  <c r="I230" i="4"/>
  <c r="I310" i="4"/>
  <c r="I10" i="4"/>
  <c r="I90" i="4"/>
  <c r="I170" i="4"/>
  <c r="I250" i="4"/>
  <c r="I330" i="4"/>
  <c r="I30" i="4"/>
  <c r="I110" i="4"/>
  <c r="I190" i="4"/>
  <c r="I270" i="4"/>
  <c r="I350" i="4"/>
  <c r="I47" i="4"/>
  <c r="I127" i="4"/>
  <c r="I67" i="4"/>
  <c r="I147" i="4"/>
  <c r="I247" i="4"/>
  <c r="I267" i="4"/>
  <c r="I7" i="4"/>
  <c r="I87" i="4"/>
  <c r="I27" i="4"/>
  <c r="I107" i="4"/>
  <c r="I167" i="4"/>
  <c r="I207" i="4"/>
  <c r="I327" i="4"/>
  <c r="I307" i="4"/>
  <c r="I347" i="4"/>
  <c r="I227" i="4"/>
  <c r="I287" i="4"/>
  <c r="I187" i="4"/>
  <c r="I60" i="4"/>
  <c r="I140" i="4"/>
  <c r="I80" i="4"/>
  <c r="I160" i="4"/>
  <c r="I220" i="4"/>
  <c r="I20" i="4"/>
  <c r="I100" i="4"/>
  <c r="I180" i="4"/>
  <c r="I40" i="4"/>
  <c r="I120" i="4"/>
  <c r="I200" i="4"/>
  <c r="I340" i="4"/>
  <c r="I240" i="4"/>
  <c r="I360" i="4"/>
  <c r="I320" i="4"/>
  <c r="I260" i="4"/>
  <c r="I280" i="4"/>
  <c r="I300" i="4"/>
  <c r="I2" i="4"/>
  <c r="I82" i="4"/>
  <c r="I162" i="4"/>
  <c r="I242" i="4"/>
  <c r="I322" i="4"/>
  <c r="I22" i="4"/>
  <c r="I102" i="4"/>
  <c r="I182" i="4"/>
  <c r="I262" i="4"/>
  <c r="I342" i="4"/>
  <c r="I42" i="4"/>
  <c r="I122" i="4"/>
  <c r="I202" i="4"/>
  <c r="I282" i="4"/>
  <c r="I62" i="4"/>
  <c r="I142" i="4"/>
  <c r="I222" i="4"/>
  <c r="I302" i="4"/>
  <c r="I34" i="4"/>
  <c r="I114" i="4"/>
  <c r="I194" i="4"/>
  <c r="I274" i="4"/>
  <c r="I54" i="4"/>
  <c r="I134" i="4"/>
  <c r="I214" i="4"/>
  <c r="I294" i="4"/>
  <c r="I74" i="4"/>
  <c r="I154" i="4"/>
  <c r="I234" i="4"/>
  <c r="I314" i="4"/>
  <c r="I14" i="4"/>
  <c r="I94" i="4"/>
  <c r="I174" i="4"/>
  <c r="I254" i="4"/>
  <c r="I334" i="4"/>
  <c r="I354" i="4"/>
  <c r="I31" i="4"/>
  <c r="I111" i="4"/>
  <c r="I51" i="4"/>
  <c r="I131" i="4"/>
  <c r="I171" i="4"/>
  <c r="I191" i="4"/>
  <c r="I71" i="4"/>
  <c r="I151" i="4"/>
  <c r="I11" i="4"/>
  <c r="I91" i="4"/>
  <c r="I231" i="4"/>
  <c r="I251" i="4"/>
  <c r="I311" i="4"/>
  <c r="I271" i="4"/>
  <c r="I291" i="4"/>
  <c r="I211" i="4"/>
  <c r="I351" i="4"/>
  <c r="I331" i="4"/>
  <c r="I28" i="4"/>
  <c r="I108" i="4"/>
  <c r="I188" i="4"/>
  <c r="I48" i="4"/>
  <c r="I128" i="4"/>
  <c r="I208" i="4"/>
  <c r="I308" i="4"/>
  <c r="I348" i="4"/>
  <c r="I288" i="4"/>
  <c r="I68" i="4"/>
  <c r="I148" i="4"/>
  <c r="I8" i="4"/>
  <c r="I88" i="4"/>
  <c r="I168" i="4"/>
  <c r="I328" i="4"/>
  <c r="I248" i="4"/>
  <c r="I228" i="4"/>
  <c r="I268" i="4"/>
  <c r="I44" i="4"/>
  <c r="I124" i="4"/>
  <c r="I204" i="4"/>
  <c r="I64" i="4"/>
  <c r="I144" i="4"/>
  <c r="I224" i="4"/>
  <c r="I4" i="4"/>
  <c r="I84" i="4"/>
  <c r="I164" i="4"/>
  <c r="I24" i="4"/>
  <c r="I104" i="4"/>
  <c r="I184" i="4"/>
  <c r="I304" i="4"/>
  <c r="I244" i="4"/>
  <c r="I324" i="4"/>
  <c r="I284" i="4"/>
  <c r="I264" i="4"/>
  <c r="I344" i="4"/>
  <c r="I12" i="4"/>
  <c r="I92" i="4"/>
  <c r="I172" i="4"/>
  <c r="I32" i="4"/>
  <c r="I112" i="4"/>
  <c r="I192" i="4"/>
  <c r="I52" i="4"/>
  <c r="I132" i="4"/>
  <c r="I212" i="4"/>
  <c r="I72" i="4"/>
  <c r="I152" i="4"/>
  <c r="I272" i="4"/>
  <c r="I332" i="4"/>
  <c r="I352" i="4"/>
  <c r="I232" i="4"/>
  <c r="I252" i="4"/>
  <c r="I312" i="4"/>
  <c r="I292" i="4"/>
  <c r="I15" i="4"/>
  <c r="I95" i="4"/>
  <c r="I35" i="4"/>
  <c r="I115" i="4"/>
  <c r="I215" i="4"/>
  <c r="I315" i="4"/>
  <c r="I235" i="4"/>
  <c r="I55" i="4"/>
  <c r="I135" i="4"/>
  <c r="I75" i="4"/>
  <c r="I155" i="4"/>
  <c r="I295" i="4"/>
  <c r="I195" i="4"/>
  <c r="I255" i="4"/>
  <c r="I275" i="4"/>
  <c r="I335" i="4"/>
  <c r="I355" i="4"/>
  <c r="I175" i="4"/>
  <c r="I9" i="4"/>
  <c r="I89" i="4"/>
  <c r="I169" i="4"/>
  <c r="I29" i="4"/>
  <c r="I109" i="4"/>
  <c r="I189" i="4"/>
  <c r="I269" i="4"/>
  <c r="I329" i="4"/>
  <c r="I49" i="4"/>
  <c r="I129" i="4"/>
  <c r="I69" i="4"/>
  <c r="I149" i="4"/>
  <c r="I229" i="4"/>
  <c r="I209" i="4"/>
  <c r="I249" i="4"/>
  <c r="I309" i="4"/>
  <c r="I349" i="4"/>
  <c r="I289" i="4"/>
  <c r="I41" i="4"/>
  <c r="I121" i="4"/>
  <c r="I201" i="4"/>
  <c r="I61" i="4"/>
  <c r="I141" i="4"/>
  <c r="I221" i="4"/>
  <c r="I301" i="4"/>
  <c r="I321" i="4"/>
  <c r="I81" i="4"/>
  <c r="I161" i="4"/>
  <c r="I21" i="4"/>
  <c r="I101" i="4"/>
  <c r="I181" i="4"/>
  <c r="I261" i="4"/>
  <c r="I361" i="4"/>
  <c r="I241" i="4"/>
  <c r="I341" i="4"/>
  <c r="I281" i="4"/>
  <c r="I57" i="4"/>
  <c r="I137" i="4"/>
  <c r="I77" i="4"/>
  <c r="I157" i="4"/>
  <c r="I237" i="4"/>
  <c r="I17" i="4"/>
  <c r="I97" i="4"/>
  <c r="I177" i="4"/>
  <c r="I37" i="4"/>
  <c r="I117" i="4"/>
  <c r="I197" i="4"/>
  <c r="I277" i="4"/>
  <c r="I217" i="4"/>
  <c r="I337" i="4"/>
  <c r="I257" i="4"/>
  <c r="I357" i="4"/>
  <c r="I317" i="4"/>
  <c r="I297" i="4"/>
  <c r="I76" i="4"/>
  <c r="I156" i="4"/>
  <c r="I16" i="4"/>
  <c r="I96" i="4"/>
  <c r="I176" i="4"/>
  <c r="I256" i="4"/>
  <c r="I336" i="4"/>
  <c r="I36" i="4"/>
  <c r="I116" i="4"/>
  <c r="I196" i="4"/>
  <c r="I56" i="4"/>
  <c r="I136" i="4"/>
  <c r="I356" i="4"/>
  <c r="I296" i="4"/>
  <c r="I276" i="4"/>
  <c r="I216" i="4"/>
  <c r="I316" i="4"/>
  <c r="I236" i="4"/>
  <c r="I79" i="4"/>
  <c r="I159" i="4"/>
  <c r="I19" i="4"/>
  <c r="I99" i="4"/>
  <c r="I279" i="4"/>
  <c r="I299" i="4"/>
  <c r="I39" i="4"/>
  <c r="I119" i="4"/>
  <c r="I59" i="4"/>
  <c r="I139" i="4"/>
  <c r="I319" i="4"/>
  <c r="I219" i="4"/>
  <c r="I179" i="4"/>
  <c r="I199" i="4"/>
  <c r="I339" i="4"/>
  <c r="I239" i="4"/>
  <c r="I25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<sst xmlns="http://schemas.openxmlformats.org/spreadsheetml/2006/main" count="7719" uniqueCount="169">
  <si>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</si>
  <si>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</si>
  <si>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</si>
  <si>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</si>
  <si>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</si>
  <si>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</si>
  <si>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</si>
  <si>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</si>
  <si>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</si>
  <si>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</si>
  <si>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</si>
  <si>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</si>
  <si>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</si>
  <si>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</si>
  <si>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</si>
  <si>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</si>
  <si>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</si>
  <si>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</si>
  <si>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</si>
  <si>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</si>
  <si>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</si>
  <si>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</si>
  <si>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</si>
  <si>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</si>
  <si>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</si>
  <si>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</si>
  <si>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</si>
  <si>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</si>
  <si>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</si>
  <si>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</si>
  <si>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</si>
  <si>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</si>
  <si>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</si>
  <si>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</si>
  <si>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</si>
  <si>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</si>
  <si>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</si>
  <si>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</si>
  <si>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</si>
  <si>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</si>
  <si>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</si>
  <si>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</si>
  <si>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</si>
  <si>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</si>
  <si>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</si>
  <si>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</si>
  <si>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</si>
  <si>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</si>
  <si>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</si>
  <si>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</si>
  <si>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</si>
  <si>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</si>
  <si>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</si>
  <si>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</si>
  <si>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</si>
  <si>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</si>
  <si>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</si>
  <si>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</si>
  <si>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</si>
  <si>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</si>
  <si>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</si>
  <si>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</si>
  <si>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</si>
  <si>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</si>
  <si>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</si>
  <si>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</si>
  <si>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</si>
  <si>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</si>
  <si>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</si>
  <si>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</si>
  <si>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</si>
  <si>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</si>
  <si>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</si>
  <si>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</si>
  <si>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</si>
  <si>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</si>
  <si>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</si>
  <si>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</si>
  <si>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</si>
  <si>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</si>
  <si>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</si>
  <si>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</si>
  <si>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</si>
  <si>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</si>
  <si>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</si>
  <si>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</si>
  <si>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</si>
  <si>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</si>
  <si>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Cyclists</t>
  </si>
  <si>
    <t>Fine</t>
  </si>
  <si>
    <t>Other Vehicles</t>
  </si>
  <si>
    <t>INT</t>
  </si>
  <si>
    <t>Cashmere Rd_Penruddock Rise_Intersection</t>
  </si>
  <si>
    <t>Cashmere Road East</t>
  </si>
  <si>
    <t>Cashmere Road West</t>
  </si>
  <si>
    <t>Left into Penruddock Rise</t>
  </si>
  <si>
    <t>Penruddock Rise</t>
  </si>
  <si>
    <t>Thru to Cashmere Road West</t>
  </si>
  <si>
    <t>Left into Cashmere Road West</t>
  </si>
  <si>
    <t>Right into Cashmere Road East</t>
  </si>
  <si>
    <t>Thru to Cashmere Road East</t>
  </si>
  <si>
    <t>Right into Penruddock Rise</t>
  </si>
  <si>
    <t>Cashmere Rd_Penruddock Rise_Intersection      Fine      23/02/2021</t>
  </si>
  <si>
    <t>Cashmere Road East Total</t>
  </si>
  <si>
    <t>Penruddock Rise Total</t>
  </si>
  <si>
    <t>Cashmere Road West Total</t>
  </si>
  <si>
    <t>Left into Penruddock Rise Total</t>
  </si>
  <si>
    <t>Thru to Cashmere Road West Total</t>
  </si>
  <si>
    <t>Left into Cashmere Road West Total</t>
  </si>
  <si>
    <t>Right into Cashmere Road East Total</t>
  </si>
  <si>
    <t>Thru to Cashmere Road East Total</t>
  </si>
  <si>
    <t>Right into Penruddock Rise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</si>
  <si>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</si>
  <si>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</si>
  <si>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</si>
  <si>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</si>
  <si>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</si>
  <si>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</si>
  <si>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</si>
  <si>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</si>
  <si>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</si>
  <si>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</si>
  <si>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</si>
  <si>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</si>
  <si>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</si>
  <si>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</si>
  <si>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</si>
  <si>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</si>
  <si>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</si>
  <si>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</si>
  <si>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</si>
  <si>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</si>
  <si>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</si>
  <si>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</si>
  <si>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</si>
  <si>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</si>
  <si>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</si>
  <si>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</si>
  <si>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</si>
  <si>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</si>
  <si>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</si>
  <si>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</si>
  <si>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</si>
  <si>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</si>
  <si>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</si>
  <si>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</si>
  <si>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</si>
  <si>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</si>
  <si>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</si>
  <si>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</si>
  <si>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</si>
  <si>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</si>
  <si>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</si>
  <si>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</si>
  <si>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Cashmere Rd Eastbound</t>
  </si>
  <si>
    <t>Penruddock Dr</t>
  </si>
  <si>
    <t>Cashmere Rd Westbound</t>
  </si>
  <si>
    <t>Lights</t>
  </si>
  <si>
    <t>Classification</t>
  </si>
  <si>
    <t>Road</t>
  </si>
  <si>
    <t>Type</t>
  </si>
  <si>
    <t>Project</t>
  </si>
  <si>
    <t>Site Code</t>
  </si>
  <si>
    <t>02/23/2021</t>
  </si>
  <si>
    <t>Start Date</t>
  </si>
  <si>
    <t>CCC I1763 Cashmere - Penruddock</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</si>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</sst>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64F6546-457A-4454-9DDB-5A60E18ACCC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Cashmere Rd_Penruddock Rise_Intersection.xlsx]Graphs!pvtGraphApproach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37</c:v>
                </c:pt>
                <c:pt idx="1">
                  <c:v>61</c:v>
                </c:pt>
                <c:pt idx="2">
                  <c:v>77</c:v>
                </c:pt>
                <c:pt idx="3">
                  <c:v>76</c:v>
                </c:pt>
                <c:pt idx="4">
                  <c:v>93</c:v>
                </c:pt>
                <c:pt idx="5">
                  <c:v>106</c:v>
                </c:pt>
                <c:pt idx="6">
                  <c:v>111</c:v>
                </c:pt>
                <c:pt idx="7">
                  <c:v>108</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70</c:v>
                </c:pt>
                <c:pt idx="1">
                  <c:v>79</c:v>
                </c:pt>
                <c:pt idx="2">
                  <c:v>124</c:v>
                </c:pt>
                <c:pt idx="3">
                  <c:v>122</c:v>
                </c:pt>
                <c:pt idx="4">
                  <c:v>143</c:v>
                </c:pt>
                <c:pt idx="5">
                  <c:v>148</c:v>
                </c:pt>
                <c:pt idx="6">
                  <c:v>151</c:v>
                </c:pt>
                <c:pt idx="7">
                  <c:v>127</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Penruddock Rise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56</c:v>
                </c:pt>
                <c:pt idx="1">
                  <c:v>77</c:v>
                </c:pt>
                <c:pt idx="2">
                  <c:v>93</c:v>
                </c:pt>
                <c:pt idx="3">
                  <c:v>91</c:v>
                </c:pt>
                <c:pt idx="4">
                  <c:v>89</c:v>
                </c:pt>
                <c:pt idx="5">
                  <c:v>135</c:v>
                </c:pt>
                <c:pt idx="6">
                  <c:v>96</c:v>
                </c:pt>
                <c:pt idx="7">
                  <c:v>64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Cashmere Rd_Penruddock Rise_Intersection.xlsx]Graphs!pvtGraphExit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Cashmere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105</c:v>
                </c:pt>
                <c:pt idx="1">
                  <c:v>127</c:v>
                </c:pt>
                <c:pt idx="2">
                  <c:v>185</c:v>
                </c:pt>
                <c:pt idx="3">
                  <c:v>187</c:v>
                </c:pt>
                <c:pt idx="4">
                  <c:v>209</c:v>
                </c:pt>
                <c:pt idx="5">
                  <c:v>238</c:v>
                </c:pt>
                <c:pt idx="6">
                  <c:v>223</c:v>
                </c:pt>
                <c:pt idx="7">
                  <c:v>168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Cashmere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65</c:v>
                </c:pt>
                <c:pt idx="2">
                  <c:v>89</c:v>
                </c:pt>
                <c:pt idx="3">
                  <c:v>86</c:v>
                </c:pt>
                <c:pt idx="4">
                  <c:v>89</c:v>
                </c:pt>
                <c:pt idx="5">
                  <c:v>127</c:v>
                </c:pt>
                <c:pt idx="6">
                  <c:v>109</c:v>
                </c:pt>
                <c:pt idx="7">
                  <c:v>93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Penruddock Rise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c:v>
                </c:pt>
                <c:pt idx="1">
                  <c:v>25</c:v>
                </c:pt>
                <c:pt idx="2">
                  <c:v>20</c:v>
                </c:pt>
                <c:pt idx="3">
                  <c:v>16</c:v>
                </c:pt>
                <c:pt idx="4">
                  <c:v>27</c:v>
                </c:pt>
                <c:pt idx="5">
                  <c:v>24</c:v>
                </c:pt>
                <c:pt idx="6">
                  <c:v>26</c:v>
                </c:pt>
                <c:pt idx="7">
                  <c:v>38</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Cashmere Rd_Penruddock Rise_Intersection.xlsx]GraphData!PivotTable2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163</c:v>
                </c:pt>
                <c:pt idx="1">
                  <c:v>217</c:v>
                </c:pt>
                <c:pt idx="2">
                  <c:v>294</c:v>
                </c:pt>
                <c:pt idx="3">
                  <c:v>289</c:v>
                </c:pt>
                <c:pt idx="4">
                  <c:v>325</c:v>
                </c:pt>
                <c:pt idx="5">
                  <c:v>389</c:v>
                </c:pt>
                <c:pt idx="6">
                  <c:v>358</c:v>
                </c:pt>
                <c:pt idx="7">
                  <c:v>299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[Turning Count - Cashmere Rd_Penruddock Rise_Intersection.xlsx]PeakCalc!pvtPeak2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163</c:v>
                </c:pt>
                <c:pt idx="1">
                  <c:v>217</c:v>
                </c:pt>
                <c:pt idx="2">
                  <c:v>294</c:v>
                </c:pt>
                <c:pt idx="3">
                  <c:v>289</c:v>
                </c:pt>
                <c:pt idx="4">
                  <c:v>325</c:v>
                </c:pt>
                <c:pt idx="5">
                  <c:v>389</c:v>
                </c:pt>
                <c:pt idx="6">
                  <c:v>358</c:v>
                </c:pt>
                <c:pt idx="7">
                  <c:v>299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325</c:v>
                </c:pt>
                <c:pt idx="5">
                  <c:v>389</c:v>
                </c:pt>
                <c:pt idx="6">
                  <c:v>358</c:v>
                </c:pt>
                <c:pt idx="7">
                  <c:v>299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178909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294217</xdr:colOff>
      <xdr:row>5</xdr:row>
      <xdr:rowOff>3175</xdr:rowOff>
    </xdr:from>
    <xdr:to>
      <xdr:col>21</xdr:col>
      <xdr:colOff>30742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571499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133349</xdr:colOff>
      <xdr:row>9</xdr:row>
      <xdr:rowOff>66673</xdr:rowOff>
    </xdr:from>
    <xdr:to>
      <xdr:col>20</xdr:col>
      <xdr:colOff>551099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86636574073" missingItemsLimit="0" createdVersion="5" refreshedVersion="6"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89"/>
    </cacheField>
    <cacheField name="Peak" numFmtId="0">
      <sharedItems containsSemiMixedTypes="0" containsString="0" containsNumber="1" containsInteger="1" minValue="0" maxValue="38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256.586788541666" createdVersion="5" refreshedVersion="6" minRefreshableVersion="3" recordCount="360" xr:uid="{00000000-000A-0000-FFFF-FFFF01000000}">
  <cacheSource type="worksheet">
    <worksheetSource name="tblPivotData"/>
  </cacheSource>
  <cacheFields count="9">
    <cacheField name="Approach" numFmtId="0">
      <sharedItems count="6">
        <s v="Cashmere Road East"/>
        <s v="Penruddock Rise"/>
        <s v="Cashmere Road West"/>
        <s v="Great south Rd (North)" u="1"/>
        <s v="Great south Rd (South)" u="1"/>
        <s v="Grange Rd" u="1"/>
      </sharedItems>
    </cacheField>
    <cacheField name="Movement" numFmtId="0">
      <sharedItems count="14">
        <s v="Left into Penruddock Rise"/>
        <s v="Thru to Cashmere Road West"/>
        <s v="Left into Cashmere Road West"/>
        <s v="Right into Cashmere Road East"/>
        <s v="Thru to Cashmere Road East"/>
        <s v="Right into Penruddock Rise"/>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enruddock Rise"/>
        <s v="Cashmere Road West"/>
        <s v="Cashmere Road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63"/>
    <n v="0"/>
  </r>
  <r>
    <x v="0"/>
    <x v="1"/>
    <n v="217"/>
    <n v="0"/>
  </r>
  <r>
    <x v="0"/>
    <x v="2"/>
    <n v="294"/>
    <n v="0"/>
  </r>
  <r>
    <x v="0"/>
    <x v="3"/>
    <n v="289"/>
    <n v="0"/>
  </r>
  <r>
    <x v="0"/>
    <x v="4"/>
    <n v="325"/>
    <n v="325"/>
  </r>
  <r>
    <x v="0"/>
    <x v="5"/>
    <n v="389"/>
    <n v="389"/>
  </r>
  <r>
    <x v="0"/>
    <x v="6"/>
    <n v="358"/>
    <n v="358"/>
  </r>
  <r>
    <x v="0"/>
    <x v="7"/>
    <n v="299"/>
    <n v="299"/>
  </r>
  <r>
    <x v="1"/>
    <x v="8"/>
    <n v="143"/>
    <n v="143"/>
  </r>
  <r>
    <x v="1"/>
    <x v="9"/>
    <n v="144"/>
    <n v="144"/>
  </r>
  <r>
    <x v="1"/>
    <x v="10"/>
    <n v="148"/>
    <n v="148"/>
  </r>
  <r>
    <x v="1"/>
    <x v="11"/>
    <n v="149"/>
    <n v="149"/>
  </r>
  <r>
    <x v="2"/>
    <x v="12"/>
    <n v="252"/>
    <n v="0"/>
  </r>
  <r>
    <x v="2"/>
    <x v="13"/>
    <n v="306"/>
    <n v="0"/>
  </r>
  <r>
    <x v="2"/>
    <x v="14"/>
    <n v="302"/>
    <n v="0"/>
  </r>
  <r>
    <x v="2"/>
    <x v="15"/>
    <n v="353"/>
    <n v="353"/>
  </r>
  <r>
    <x v="2"/>
    <x v="16"/>
    <n v="339"/>
    <n v="339"/>
  </r>
  <r>
    <x v="2"/>
    <x v="17"/>
    <n v="344"/>
    <n v="344"/>
  </r>
  <r>
    <x v="2"/>
    <x v="18"/>
    <n v="334"/>
    <n v="334"/>
  </r>
  <r>
    <x v="2"/>
    <x v="19"/>
    <n v="26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2"/>
    <x v="0"/>
    <x v="0"/>
  </r>
  <r>
    <x v="0"/>
    <x v="0"/>
    <x v="0"/>
    <x v="0"/>
    <x v="0"/>
    <x v="1"/>
    <n v="11"/>
    <x v="1"/>
    <x v="0"/>
  </r>
  <r>
    <x v="0"/>
    <x v="0"/>
    <x v="0"/>
    <x v="0"/>
    <x v="0"/>
    <x v="2"/>
    <n v="10"/>
    <x v="2"/>
    <x v="0"/>
  </r>
  <r>
    <x v="0"/>
    <x v="0"/>
    <x v="0"/>
    <x v="0"/>
    <x v="0"/>
    <x v="3"/>
    <n v="9"/>
    <x v="3"/>
    <x v="0"/>
  </r>
  <r>
    <x v="0"/>
    <x v="0"/>
    <x v="0"/>
    <x v="0"/>
    <x v="0"/>
    <x v="4"/>
    <n v="19"/>
    <x v="4"/>
    <x v="1"/>
  </r>
  <r>
    <x v="0"/>
    <x v="0"/>
    <x v="0"/>
    <x v="0"/>
    <x v="0"/>
    <x v="5"/>
    <n v="13"/>
    <x v="5"/>
    <x v="1"/>
  </r>
  <r>
    <x v="0"/>
    <x v="0"/>
    <x v="0"/>
    <x v="0"/>
    <x v="0"/>
    <x v="6"/>
    <n v="22"/>
    <x v="6"/>
    <x v="1"/>
  </r>
  <r>
    <x v="0"/>
    <x v="0"/>
    <x v="0"/>
    <x v="0"/>
    <x v="0"/>
    <x v="7"/>
    <n v="22"/>
    <x v="7"/>
    <x v="1"/>
  </r>
  <r>
    <x v="0"/>
    <x v="0"/>
    <x v="0"/>
    <x v="0"/>
    <x v="1"/>
    <x v="8"/>
    <n v="19"/>
    <x v="8"/>
    <x v="1"/>
  </r>
  <r>
    <x v="0"/>
    <x v="0"/>
    <x v="0"/>
    <x v="0"/>
    <x v="1"/>
    <x v="9"/>
    <n v="24"/>
    <x v="9"/>
    <x v="1"/>
  </r>
  <r>
    <x v="0"/>
    <x v="0"/>
    <x v="0"/>
    <x v="0"/>
    <x v="1"/>
    <x v="10"/>
    <n v="22"/>
    <x v="10"/>
    <x v="1"/>
  </r>
  <r>
    <x v="0"/>
    <x v="0"/>
    <x v="0"/>
    <x v="0"/>
    <x v="1"/>
    <x v="11"/>
    <n v="20"/>
    <x v="11"/>
    <x v="1"/>
  </r>
  <r>
    <x v="0"/>
    <x v="0"/>
    <x v="0"/>
    <x v="0"/>
    <x v="2"/>
    <x v="12"/>
    <n v="33"/>
    <x v="12"/>
    <x v="0"/>
  </r>
  <r>
    <x v="0"/>
    <x v="0"/>
    <x v="0"/>
    <x v="0"/>
    <x v="2"/>
    <x v="13"/>
    <n v="36"/>
    <x v="13"/>
    <x v="0"/>
  </r>
  <r>
    <x v="0"/>
    <x v="0"/>
    <x v="0"/>
    <x v="0"/>
    <x v="2"/>
    <x v="14"/>
    <n v="38"/>
    <x v="14"/>
    <x v="0"/>
  </r>
  <r>
    <x v="0"/>
    <x v="0"/>
    <x v="0"/>
    <x v="0"/>
    <x v="2"/>
    <x v="15"/>
    <n v="59"/>
    <x v="15"/>
    <x v="1"/>
  </r>
  <r>
    <x v="0"/>
    <x v="0"/>
    <x v="0"/>
    <x v="0"/>
    <x v="2"/>
    <x v="16"/>
    <n v="47"/>
    <x v="16"/>
    <x v="1"/>
  </r>
  <r>
    <x v="0"/>
    <x v="0"/>
    <x v="0"/>
    <x v="0"/>
    <x v="2"/>
    <x v="17"/>
    <n v="53"/>
    <x v="17"/>
    <x v="1"/>
  </r>
  <r>
    <x v="0"/>
    <x v="0"/>
    <x v="0"/>
    <x v="0"/>
    <x v="2"/>
    <x v="18"/>
    <n v="42"/>
    <x v="18"/>
    <x v="1"/>
  </r>
  <r>
    <x v="0"/>
    <x v="0"/>
    <x v="0"/>
    <x v="0"/>
    <x v="2"/>
    <x v="19"/>
    <n v="51"/>
    <x v="19"/>
    <x v="0"/>
  </r>
  <r>
    <x v="0"/>
    <x v="0"/>
    <x v="0"/>
    <x v="1"/>
    <x v="0"/>
    <x v="0"/>
    <n v="2"/>
    <x v="0"/>
    <x v="0"/>
  </r>
  <r>
    <x v="0"/>
    <x v="0"/>
    <x v="0"/>
    <x v="1"/>
    <x v="0"/>
    <x v="1"/>
    <n v="1"/>
    <x v="1"/>
    <x v="0"/>
  </r>
  <r>
    <x v="0"/>
    <x v="0"/>
    <x v="0"/>
    <x v="1"/>
    <x v="0"/>
    <x v="2"/>
    <n v="0"/>
    <x v="2"/>
    <x v="0"/>
  </r>
  <r>
    <x v="0"/>
    <x v="0"/>
    <x v="0"/>
    <x v="1"/>
    <x v="0"/>
    <x v="3"/>
    <n v="1"/>
    <x v="3"/>
    <x v="0"/>
  </r>
  <r>
    <x v="0"/>
    <x v="0"/>
    <x v="0"/>
    <x v="1"/>
    <x v="0"/>
    <x v="4"/>
    <n v="0"/>
    <x v="4"/>
    <x v="1"/>
  </r>
  <r>
    <x v="0"/>
    <x v="0"/>
    <x v="0"/>
    <x v="1"/>
    <x v="0"/>
    <x v="5"/>
    <n v="3"/>
    <x v="5"/>
    <x v="1"/>
  </r>
  <r>
    <x v="0"/>
    <x v="0"/>
    <x v="0"/>
    <x v="1"/>
    <x v="0"/>
    <x v="6"/>
    <n v="0"/>
    <x v="6"/>
    <x v="1"/>
  </r>
  <r>
    <x v="0"/>
    <x v="0"/>
    <x v="0"/>
    <x v="1"/>
    <x v="0"/>
    <x v="7"/>
    <n v="2"/>
    <x v="7"/>
    <x v="1"/>
  </r>
  <r>
    <x v="0"/>
    <x v="0"/>
    <x v="0"/>
    <x v="1"/>
    <x v="1"/>
    <x v="8"/>
    <n v="2"/>
    <x v="8"/>
    <x v="1"/>
  </r>
  <r>
    <x v="0"/>
    <x v="0"/>
    <x v="0"/>
    <x v="1"/>
    <x v="1"/>
    <x v="9"/>
    <n v="0"/>
    <x v="9"/>
    <x v="1"/>
  </r>
  <r>
    <x v="0"/>
    <x v="0"/>
    <x v="0"/>
    <x v="1"/>
    <x v="1"/>
    <x v="10"/>
    <n v="1"/>
    <x v="10"/>
    <x v="1"/>
  </r>
  <r>
    <x v="0"/>
    <x v="0"/>
    <x v="0"/>
    <x v="1"/>
    <x v="1"/>
    <x v="11"/>
    <n v="0"/>
    <x v="11"/>
    <x v="1"/>
  </r>
  <r>
    <x v="0"/>
    <x v="0"/>
    <x v="0"/>
    <x v="1"/>
    <x v="2"/>
    <x v="12"/>
    <n v="0"/>
    <x v="12"/>
    <x v="0"/>
  </r>
  <r>
    <x v="0"/>
    <x v="0"/>
    <x v="0"/>
    <x v="1"/>
    <x v="2"/>
    <x v="13"/>
    <n v="1"/>
    <x v="13"/>
    <x v="0"/>
  </r>
  <r>
    <x v="0"/>
    <x v="0"/>
    <x v="0"/>
    <x v="1"/>
    <x v="2"/>
    <x v="14"/>
    <n v="0"/>
    <x v="14"/>
    <x v="0"/>
  </r>
  <r>
    <x v="0"/>
    <x v="0"/>
    <x v="0"/>
    <x v="1"/>
    <x v="2"/>
    <x v="15"/>
    <n v="2"/>
    <x v="15"/>
    <x v="1"/>
  </r>
  <r>
    <x v="0"/>
    <x v="0"/>
    <x v="0"/>
    <x v="1"/>
    <x v="2"/>
    <x v="16"/>
    <n v="1"/>
    <x v="16"/>
    <x v="1"/>
  </r>
  <r>
    <x v="0"/>
    <x v="0"/>
    <x v="0"/>
    <x v="1"/>
    <x v="2"/>
    <x v="17"/>
    <n v="0"/>
    <x v="17"/>
    <x v="1"/>
  </r>
  <r>
    <x v="0"/>
    <x v="0"/>
    <x v="0"/>
    <x v="1"/>
    <x v="2"/>
    <x v="18"/>
    <n v="1"/>
    <x v="18"/>
    <x v="1"/>
  </r>
  <r>
    <x v="0"/>
    <x v="0"/>
    <x v="0"/>
    <x v="1"/>
    <x v="2"/>
    <x v="19"/>
    <n v="1"/>
    <x v="19"/>
    <x v="0"/>
  </r>
  <r>
    <x v="0"/>
    <x v="0"/>
    <x v="0"/>
    <x v="2"/>
    <x v="0"/>
    <x v="0"/>
    <n v="0"/>
    <x v="0"/>
    <x v="0"/>
  </r>
  <r>
    <x v="0"/>
    <x v="0"/>
    <x v="0"/>
    <x v="2"/>
    <x v="0"/>
    <x v="1"/>
    <n v="1"/>
    <x v="1"/>
    <x v="0"/>
  </r>
  <r>
    <x v="0"/>
    <x v="0"/>
    <x v="0"/>
    <x v="2"/>
    <x v="0"/>
    <x v="2"/>
    <n v="0"/>
    <x v="2"/>
    <x v="0"/>
  </r>
  <r>
    <x v="0"/>
    <x v="0"/>
    <x v="0"/>
    <x v="2"/>
    <x v="0"/>
    <x v="3"/>
    <n v="0"/>
    <x v="3"/>
    <x v="0"/>
  </r>
  <r>
    <x v="0"/>
    <x v="0"/>
    <x v="0"/>
    <x v="2"/>
    <x v="0"/>
    <x v="4"/>
    <n v="1"/>
    <x v="4"/>
    <x v="1"/>
  </r>
  <r>
    <x v="0"/>
    <x v="0"/>
    <x v="0"/>
    <x v="2"/>
    <x v="0"/>
    <x v="5"/>
    <n v="0"/>
    <x v="5"/>
    <x v="1"/>
  </r>
  <r>
    <x v="0"/>
    <x v="0"/>
    <x v="0"/>
    <x v="2"/>
    <x v="0"/>
    <x v="6"/>
    <n v="0"/>
    <x v="6"/>
    <x v="1"/>
  </r>
  <r>
    <x v="0"/>
    <x v="0"/>
    <x v="0"/>
    <x v="2"/>
    <x v="0"/>
    <x v="7"/>
    <n v="2"/>
    <x v="7"/>
    <x v="1"/>
  </r>
  <r>
    <x v="0"/>
    <x v="0"/>
    <x v="0"/>
    <x v="2"/>
    <x v="1"/>
    <x v="8"/>
    <n v="1"/>
    <x v="8"/>
    <x v="1"/>
  </r>
  <r>
    <x v="0"/>
    <x v="0"/>
    <x v="0"/>
    <x v="2"/>
    <x v="1"/>
    <x v="9"/>
    <n v="0"/>
    <x v="9"/>
    <x v="1"/>
  </r>
  <r>
    <x v="0"/>
    <x v="0"/>
    <x v="0"/>
    <x v="2"/>
    <x v="1"/>
    <x v="10"/>
    <n v="1"/>
    <x v="10"/>
    <x v="1"/>
  </r>
  <r>
    <x v="0"/>
    <x v="0"/>
    <x v="0"/>
    <x v="2"/>
    <x v="1"/>
    <x v="11"/>
    <n v="1"/>
    <x v="11"/>
    <x v="1"/>
  </r>
  <r>
    <x v="0"/>
    <x v="0"/>
    <x v="0"/>
    <x v="2"/>
    <x v="2"/>
    <x v="12"/>
    <n v="1"/>
    <x v="12"/>
    <x v="0"/>
  </r>
  <r>
    <x v="0"/>
    <x v="0"/>
    <x v="0"/>
    <x v="2"/>
    <x v="2"/>
    <x v="13"/>
    <n v="1"/>
    <x v="13"/>
    <x v="0"/>
  </r>
  <r>
    <x v="0"/>
    <x v="0"/>
    <x v="0"/>
    <x v="2"/>
    <x v="2"/>
    <x v="14"/>
    <n v="3"/>
    <x v="14"/>
    <x v="0"/>
  </r>
  <r>
    <x v="0"/>
    <x v="0"/>
    <x v="0"/>
    <x v="2"/>
    <x v="2"/>
    <x v="15"/>
    <n v="1"/>
    <x v="15"/>
    <x v="1"/>
  </r>
  <r>
    <x v="0"/>
    <x v="0"/>
    <x v="0"/>
    <x v="2"/>
    <x v="2"/>
    <x v="16"/>
    <n v="5"/>
    <x v="16"/>
    <x v="1"/>
  </r>
  <r>
    <x v="0"/>
    <x v="0"/>
    <x v="0"/>
    <x v="2"/>
    <x v="2"/>
    <x v="17"/>
    <n v="4"/>
    <x v="17"/>
    <x v="1"/>
  </r>
  <r>
    <x v="0"/>
    <x v="0"/>
    <x v="0"/>
    <x v="2"/>
    <x v="2"/>
    <x v="18"/>
    <n v="4"/>
    <x v="18"/>
    <x v="1"/>
  </r>
  <r>
    <x v="0"/>
    <x v="0"/>
    <x v="0"/>
    <x v="2"/>
    <x v="2"/>
    <x v="19"/>
    <n v="5"/>
    <x v="19"/>
    <x v="0"/>
  </r>
  <r>
    <x v="0"/>
    <x v="1"/>
    <x v="1"/>
    <x v="0"/>
    <x v="0"/>
    <x v="0"/>
    <n v="29"/>
    <x v="0"/>
    <x v="0"/>
  </r>
  <r>
    <x v="0"/>
    <x v="1"/>
    <x v="1"/>
    <x v="0"/>
    <x v="0"/>
    <x v="1"/>
    <n v="46"/>
    <x v="1"/>
    <x v="0"/>
  </r>
  <r>
    <x v="0"/>
    <x v="1"/>
    <x v="1"/>
    <x v="0"/>
    <x v="0"/>
    <x v="2"/>
    <n v="64"/>
    <x v="2"/>
    <x v="0"/>
  </r>
  <r>
    <x v="0"/>
    <x v="1"/>
    <x v="1"/>
    <x v="0"/>
    <x v="0"/>
    <x v="3"/>
    <n v="64"/>
    <x v="3"/>
    <x v="0"/>
  </r>
  <r>
    <x v="0"/>
    <x v="1"/>
    <x v="1"/>
    <x v="0"/>
    <x v="0"/>
    <x v="4"/>
    <n v="70"/>
    <x v="4"/>
    <x v="1"/>
  </r>
  <r>
    <x v="0"/>
    <x v="1"/>
    <x v="1"/>
    <x v="0"/>
    <x v="0"/>
    <x v="5"/>
    <n v="87"/>
    <x v="5"/>
    <x v="1"/>
  </r>
  <r>
    <x v="0"/>
    <x v="1"/>
    <x v="1"/>
    <x v="0"/>
    <x v="0"/>
    <x v="6"/>
    <n v="73"/>
    <x v="6"/>
    <x v="1"/>
  </r>
  <r>
    <x v="0"/>
    <x v="1"/>
    <x v="1"/>
    <x v="0"/>
    <x v="0"/>
    <x v="7"/>
    <n v="76"/>
    <x v="7"/>
    <x v="1"/>
  </r>
  <r>
    <x v="0"/>
    <x v="1"/>
    <x v="1"/>
    <x v="0"/>
    <x v="1"/>
    <x v="8"/>
    <n v="34"/>
    <x v="8"/>
    <x v="1"/>
  </r>
  <r>
    <x v="0"/>
    <x v="1"/>
    <x v="1"/>
    <x v="0"/>
    <x v="1"/>
    <x v="9"/>
    <n v="35"/>
    <x v="9"/>
    <x v="1"/>
  </r>
  <r>
    <x v="0"/>
    <x v="1"/>
    <x v="1"/>
    <x v="0"/>
    <x v="1"/>
    <x v="10"/>
    <n v="44"/>
    <x v="10"/>
    <x v="1"/>
  </r>
  <r>
    <x v="0"/>
    <x v="1"/>
    <x v="1"/>
    <x v="0"/>
    <x v="1"/>
    <x v="11"/>
    <n v="40"/>
    <x v="11"/>
    <x v="1"/>
  </r>
  <r>
    <x v="0"/>
    <x v="1"/>
    <x v="1"/>
    <x v="0"/>
    <x v="2"/>
    <x v="12"/>
    <n v="84"/>
    <x v="12"/>
    <x v="0"/>
  </r>
  <r>
    <x v="0"/>
    <x v="1"/>
    <x v="1"/>
    <x v="0"/>
    <x v="2"/>
    <x v="13"/>
    <n v="94"/>
    <x v="13"/>
    <x v="0"/>
  </r>
  <r>
    <x v="0"/>
    <x v="1"/>
    <x v="1"/>
    <x v="0"/>
    <x v="2"/>
    <x v="14"/>
    <n v="89"/>
    <x v="14"/>
    <x v="0"/>
  </r>
  <r>
    <x v="0"/>
    <x v="1"/>
    <x v="1"/>
    <x v="0"/>
    <x v="2"/>
    <x v="15"/>
    <n v="105"/>
    <x v="15"/>
    <x v="1"/>
  </r>
  <r>
    <x v="0"/>
    <x v="1"/>
    <x v="1"/>
    <x v="0"/>
    <x v="2"/>
    <x v="16"/>
    <n v="103"/>
    <x v="16"/>
    <x v="1"/>
  </r>
  <r>
    <x v="0"/>
    <x v="1"/>
    <x v="1"/>
    <x v="0"/>
    <x v="2"/>
    <x v="17"/>
    <n v="103"/>
    <x v="17"/>
    <x v="1"/>
  </r>
  <r>
    <x v="0"/>
    <x v="1"/>
    <x v="1"/>
    <x v="0"/>
    <x v="2"/>
    <x v="18"/>
    <n v="92"/>
    <x v="18"/>
    <x v="1"/>
  </r>
  <r>
    <x v="0"/>
    <x v="1"/>
    <x v="1"/>
    <x v="0"/>
    <x v="2"/>
    <x v="19"/>
    <n v="82"/>
    <x v="19"/>
    <x v="0"/>
  </r>
  <r>
    <x v="0"/>
    <x v="1"/>
    <x v="1"/>
    <x v="1"/>
    <x v="0"/>
    <x v="0"/>
    <n v="1"/>
    <x v="0"/>
    <x v="0"/>
  </r>
  <r>
    <x v="0"/>
    <x v="1"/>
    <x v="1"/>
    <x v="1"/>
    <x v="0"/>
    <x v="1"/>
    <n v="0"/>
    <x v="1"/>
    <x v="0"/>
  </r>
  <r>
    <x v="0"/>
    <x v="1"/>
    <x v="1"/>
    <x v="1"/>
    <x v="0"/>
    <x v="2"/>
    <n v="2"/>
    <x v="2"/>
    <x v="0"/>
  </r>
  <r>
    <x v="0"/>
    <x v="1"/>
    <x v="1"/>
    <x v="1"/>
    <x v="0"/>
    <x v="3"/>
    <n v="1"/>
    <x v="3"/>
    <x v="0"/>
  </r>
  <r>
    <x v="0"/>
    <x v="1"/>
    <x v="1"/>
    <x v="1"/>
    <x v="0"/>
    <x v="4"/>
    <n v="1"/>
    <x v="4"/>
    <x v="1"/>
  </r>
  <r>
    <x v="0"/>
    <x v="1"/>
    <x v="1"/>
    <x v="1"/>
    <x v="0"/>
    <x v="5"/>
    <n v="1"/>
    <x v="5"/>
    <x v="1"/>
  </r>
  <r>
    <x v="0"/>
    <x v="1"/>
    <x v="1"/>
    <x v="1"/>
    <x v="0"/>
    <x v="6"/>
    <n v="1"/>
    <x v="6"/>
    <x v="1"/>
  </r>
  <r>
    <x v="0"/>
    <x v="1"/>
    <x v="1"/>
    <x v="1"/>
    <x v="0"/>
    <x v="7"/>
    <n v="3"/>
    <x v="7"/>
    <x v="1"/>
  </r>
  <r>
    <x v="0"/>
    <x v="1"/>
    <x v="1"/>
    <x v="1"/>
    <x v="1"/>
    <x v="8"/>
    <n v="3"/>
    <x v="8"/>
    <x v="1"/>
  </r>
  <r>
    <x v="0"/>
    <x v="1"/>
    <x v="1"/>
    <x v="1"/>
    <x v="1"/>
    <x v="9"/>
    <n v="2"/>
    <x v="9"/>
    <x v="1"/>
  </r>
  <r>
    <x v="0"/>
    <x v="1"/>
    <x v="1"/>
    <x v="1"/>
    <x v="1"/>
    <x v="10"/>
    <n v="2"/>
    <x v="10"/>
    <x v="1"/>
  </r>
  <r>
    <x v="0"/>
    <x v="1"/>
    <x v="1"/>
    <x v="1"/>
    <x v="1"/>
    <x v="11"/>
    <n v="3"/>
    <x v="11"/>
    <x v="1"/>
  </r>
  <r>
    <x v="0"/>
    <x v="1"/>
    <x v="1"/>
    <x v="1"/>
    <x v="2"/>
    <x v="12"/>
    <n v="2"/>
    <x v="12"/>
    <x v="0"/>
  </r>
  <r>
    <x v="0"/>
    <x v="1"/>
    <x v="1"/>
    <x v="1"/>
    <x v="2"/>
    <x v="13"/>
    <n v="2"/>
    <x v="13"/>
    <x v="0"/>
  </r>
  <r>
    <x v="0"/>
    <x v="1"/>
    <x v="1"/>
    <x v="1"/>
    <x v="2"/>
    <x v="14"/>
    <n v="0"/>
    <x v="14"/>
    <x v="0"/>
  </r>
  <r>
    <x v="0"/>
    <x v="1"/>
    <x v="1"/>
    <x v="1"/>
    <x v="2"/>
    <x v="15"/>
    <n v="2"/>
    <x v="15"/>
    <x v="1"/>
  </r>
  <r>
    <x v="0"/>
    <x v="1"/>
    <x v="1"/>
    <x v="1"/>
    <x v="2"/>
    <x v="16"/>
    <n v="0"/>
    <x v="16"/>
    <x v="1"/>
  </r>
  <r>
    <x v="0"/>
    <x v="1"/>
    <x v="1"/>
    <x v="1"/>
    <x v="2"/>
    <x v="17"/>
    <n v="0"/>
    <x v="17"/>
    <x v="1"/>
  </r>
  <r>
    <x v="0"/>
    <x v="1"/>
    <x v="1"/>
    <x v="1"/>
    <x v="2"/>
    <x v="18"/>
    <n v="0"/>
    <x v="18"/>
    <x v="1"/>
  </r>
  <r>
    <x v="0"/>
    <x v="1"/>
    <x v="1"/>
    <x v="1"/>
    <x v="2"/>
    <x v="19"/>
    <n v="0"/>
    <x v="19"/>
    <x v="0"/>
  </r>
  <r>
    <x v="0"/>
    <x v="1"/>
    <x v="1"/>
    <x v="2"/>
    <x v="0"/>
    <x v="0"/>
    <n v="3"/>
    <x v="0"/>
    <x v="0"/>
  </r>
  <r>
    <x v="0"/>
    <x v="1"/>
    <x v="1"/>
    <x v="2"/>
    <x v="0"/>
    <x v="1"/>
    <n v="2"/>
    <x v="1"/>
    <x v="0"/>
  </r>
  <r>
    <x v="0"/>
    <x v="1"/>
    <x v="1"/>
    <x v="2"/>
    <x v="0"/>
    <x v="2"/>
    <n v="1"/>
    <x v="2"/>
    <x v="0"/>
  </r>
  <r>
    <x v="0"/>
    <x v="1"/>
    <x v="1"/>
    <x v="2"/>
    <x v="0"/>
    <x v="3"/>
    <n v="1"/>
    <x v="3"/>
    <x v="0"/>
  </r>
  <r>
    <x v="0"/>
    <x v="1"/>
    <x v="1"/>
    <x v="2"/>
    <x v="0"/>
    <x v="4"/>
    <n v="2"/>
    <x v="4"/>
    <x v="1"/>
  </r>
  <r>
    <x v="0"/>
    <x v="1"/>
    <x v="1"/>
    <x v="2"/>
    <x v="0"/>
    <x v="5"/>
    <n v="2"/>
    <x v="5"/>
    <x v="1"/>
  </r>
  <r>
    <x v="0"/>
    <x v="1"/>
    <x v="1"/>
    <x v="2"/>
    <x v="0"/>
    <x v="6"/>
    <n v="15"/>
    <x v="6"/>
    <x v="1"/>
  </r>
  <r>
    <x v="0"/>
    <x v="1"/>
    <x v="1"/>
    <x v="2"/>
    <x v="0"/>
    <x v="7"/>
    <n v="3"/>
    <x v="7"/>
    <x v="1"/>
  </r>
  <r>
    <x v="0"/>
    <x v="1"/>
    <x v="1"/>
    <x v="2"/>
    <x v="1"/>
    <x v="8"/>
    <n v="3"/>
    <x v="8"/>
    <x v="1"/>
  </r>
  <r>
    <x v="0"/>
    <x v="1"/>
    <x v="1"/>
    <x v="2"/>
    <x v="1"/>
    <x v="9"/>
    <n v="2"/>
    <x v="9"/>
    <x v="1"/>
  </r>
  <r>
    <x v="0"/>
    <x v="1"/>
    <x v="1"/>
    <x v="2"/>
    <x v="1"/>
    <x v="10"/>
    <n v="1"/>
    <x v="10"/>
    <x v="1"/>
  </r>
  <r>
    <x v="0"/>
    <x v="1"/>
    <x v="1"/>
    <x v="2"/>
    <x v="1"/>
    <x v="11"/>
    <n v="1"/>
    <x v="11"/>
    <x v="1"/>
  </r>
  <r>
    <x v="0"/>
    <x v="1"/>
    <x v="1"/>
    <x v="2"/>
    <x v="2"/>
    <x v="12"/>
    <n v="1"/>
    <x v="12"/>
    <x v="0"/>
  </r>
  <r>
    <x v="0"/>
    <x v="1"/>
    <x v="1"/>
    <x v="2"/>
    <x v="2"/>
    <x v="13"/>
    <n v="2"/>
    <x v="13"/>
    <x v="0"/>
  </r>
  <r>
    <x v="0"/>
    <x v="1"/>
    <x v="1"/>
    <x v="2"/>
    <x v="2"/>
    <x v="14"/>
    <n v="4"/>
    <x v="14"/>
    <x v="0"/>
  </r>
  <r>
    <x v="0"/>
    <x v="1"/>
    <x v="1"/>
    <x v="2"/>
    <x v="2"/>
    <x v="15"/>
    <n v="5"/>
    <x v="15"/>
    <x v="1"/>
  </r>
  <r>
    <x v="0"/>
    <x v="1"/>
    <x v="1"/>
    <x v="2"/>
    <x v="2"/>
    <x v="16"/>
    <n v="5"/>
    <x v="16"/>
    <x v="1"/>
  </r>
  <r>
    <x v="0"/>
    <x v="1"/>
    <x v="1"/>
    <x v="2"/>
    <x v="2"/>
    <x v="17"/>
    <n v="5"/>
    <x v="17"/>
    <x v="1"/>
  </r>
  <r>
    <x v="0"/>
    <x v="1"/>
    <x v="1"/>
    <x v="2"/>
    <x v="2"/>
    <x v="18"/>
    <n v="10"/>
    <x v="18"/>
    <x v="1"/>
  </r>
  <r>
    <x v="0"/>
    <x v="1"/>
    <x v="1"/>
    <x v="2"/>
    <x v="2"/>
    <x v="19"/>
    <n v="5"/>
    <x v="19"/>
    <x v="0"/>
  </r>
  <r>
    <x v="1"/>
    <x v="2"/>
    <x v="1"/>
    <x v="0"/>
    <x v="0"/>
    <x v="0"/>
    <n v="14"/>
    <x v="0"/>
    <x v="0"/>
  </r>
  <r>
    <x v="1"/>
    <x v="2"/>
    <x v="1"/>
    <x v="0"/>
    <x v="0"/>
    <x v="1"/>
    <n v="16"/>
    <x v="1"/>
    <x v="0"/>
  </r>
  <r>
    <x v="1"/>
    <x v="2"/>
    <x v="1"/>
    <x v="0"/>
    <x v="0"/>
    <x v="2"/>
    <n v="21"/>
    <x v="2"/>
    <x v="0"/>
  </r>
  <r>
    <x v="1"/>
    <x v="2"/>
    <x v="1"/>
    <x v="0"/>
    <x v="0"/>
    <x v="3"/>
    <n v="19"/>
    <x v="3"/>
    <x v="0"/>
  </r>
  <r>
    <x v="1"/>
    <x v="2"/>
    <x v="1"/>
    <x v="0"/>
    <x v="0"/>
    <x v="4"/>
    <n v="15"/>
    <x v="4"/>
    <x v="1"/>
  </r>
  <r>
    <x v="1"/>
    <x v="2"/>
    <x v="1"/>
    <x v="0"/>
    <x v="0"/>
    <x v="5"/>
    <n v="36"/>
    <x v="5"/>
    <x v="1"/>
  </r>
  <r>
    <x v="1"/>
    <x v="2"/>
    <x v="1"/>
    <x v="0"/>
    <x v="0"/>
    <x v="6"/>
    <n v="18"/>
    <x v="6"/>
    <x v="1"/>
  </r>
  <r>
    <x v="1"/>
    <x v="2"/>
    <x v="1"/>
    <x v="0"/>
    <x v="0"/>
    <x v="7"/>
    <n v="11"/>
    <x v="7"/>
    <x v="1"/>
  </r>
  <r>
    <x v="1"/>
    <x v="2"/>
    <x v="1"/>
    <x v="0"/>
    <x v="1"/>
    <x v="8"/>
    <n v="7"/>
    <x v="8"/>
    <x v="1"/>
  </r>
  <r>
    <x v="1"/>
    <x v="2"/>
    <x v="1"/>
    <x v="0"/>
    <x v="1"/>
    <x v="9"/>
    <n v="9"/>
    <x v="9"/>
    <x v="1"/>
  </r>
  <r>
    <x v="1"/>
    <x v="2"/>
    <x v="1"/>
    <x v="0"/>
    <x v="1"/>
    <x v="10"/>
    <n v="8"/>
    <x v="10"/>
    <x v="1"/>
  </r>
  <r>
    <x v="1"/>
    <x v="2"/>
    <x v="1"/>
    <x v="0"/>
    <x v="1"/>
    <x v="11"/>
    <n v="10"/>
    <x v="11"/>
    <x v="1"/>
  </r>
  <r>
    <x v="1"/>
    <x v="2"/>
    <x v="1"/>
    <x v="0"/>
    <x v="2"/>
    <x v="12"/>
    <n v="6"/>
    <x v="12"/>
    <x v="0"/>
  </r>
  <r>
    <x v="1"/>
    <x v="2"/>
    <x v="1"/>
    <x v="0"/>
    <x v="2"/>
    <x v="13"/>
    <n v="23"/>
    <x v="13"/>
    <x v="0"/>
  </r>
  <r>
    <x v="1"/>
    <x v="2"/>
    <x v="1"/>
    <x v="0"/>
    <x v="2"/>
    <x v="14"/>
    <n v="12"/>
    <x v="14"/>
    <x v="0"/>
  </r>
  <r>
    <x v="1"/>
    <x v="2"/>
    <x v="1"/>
    <x v="0"/>
    <x v="2"/>
    <x v="15"/>
    <n v="13"/>
    <x v="15"/>
    <x v="1"/>
  </r>
  <r>
    <x v="1"/>
    <x v="2"/>
    <x v="1"/>
    <x v="0"/>
    <x v="2"/>
    <x v="16"/>
    <n v="16"/>
    <x v="16"/>
    <x v="1"/>
  </r>
  <r>
    <x v="1"/>
    <x v="2"/>
    <x v="1"/>
    <x v="0"/>
    <x v="2"/>
    <x v="17"/>
    <n v="10"/>
    <x v="17"/>
    <x v="1"/>
  </r>
  <r>
    <x v="1"/>
    <x v="2"/>
    <x v="1"/>
    <x v="0"/>
    <x v="2"/>
    <x v="18"/>
    <n v="9"/>
    <x v="18"/>
    <x v="1"/>
  </r>
  <r>
    <x v="1"/>
    <x v="2"/>
    <x v="1"/>
    <x v="0"/>
    <x v="2"/>
    <x v="19"/>
    <n v="11"/>
    <x v="19"/>
    <x v="0"/>
  </r>
  <r>
    <x v="1"/>
    <x v="2"/>
    <x v="1"/>
    <x v="1"/>
    <x v="0"/>
    <x v="0"/>
    <n v="1"/>
    <x v="0"/>
    <x v="0"/>
  </r>
  <r>
    <x v="1"/>
    <x v="2"/>
    <x v="1"/>
    <x v="1"/>
    <x v="0"/>
    <x v="1"/>
    <n v="1"/>
    <x v="1"/>
    <x v="0"/>
  </r>
  <r>
    <x v="1"/>
    <x v="2"/>
    <x v="1"/>
    <x v="1"/>
    <x v="0"/>
    <x v="2"/>
    <n v="0"/>
    <x v="2"/>
    <x v="0"/>
  </r>
  <r>
    <x v="1"/>
    <x v="2"/>
    <x v="1"/>
    <x v="1"/>
    <x v="0"/>
    <x v="3"/>
    <n v="0"/>
    <x v="3"/>
    <x v="0"/>
  </r>
  <r>
    <x v="1"/>
    <x v="2"/>
    <x v="1"/>
    <x v="1"/>
    <x v="0"/>
    <x v="4"/>
    <n v="0"/>
    <x v="4"/>
    <x v="1"/>
  </r>
  <r>
    <x v="1"/>
    <x v="2"/>
    <x v="1"/>
    <x v="1"/>
    <x v="0"/>
    <x v="5"/>
    <n v="1"/>
    <x v="5"/>
    <x v="1"/>
  </r>
  <r>
    <x v="1"/>
    <x v="2"/>
    <x v="1"/>
    <x v="1"/>
    <x v="0"/>
    <x v="6"/>
    <n v="1"/>
    <x v="6"/>
    <x v="1"/>
  </r>
  <r>
    <x v="1"/>
    <x v="2"/>
    <x v="1"/>
    <x v="1"/>
    <x v="0"/>
    <x v="7"/>
    <n v="0"/>
    <x v="7"/>
    <x v="1"/>
  </r>
  <r>
    <x v="1"/>
    <x v="2"/>
    <x v="1"/>
    <x v="1"/>
    <x v="1"/>
    <x v="8"/>
    <n v="1"/>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0"/>
  </r>
  <r>
    <x v="1"/>
    <x v="2"/>
    <x v="1"/>
    <x v="1"/>
    <x v="2"/>
    <x v="15"/>
    <n v="2"/>
    <x v="15"/>
    <x v="1"/>
  </r>
  <r>
    <x v="1"/>
    <x v="2"/>
    <x v="1"/>
    <x v="1"/>
    <x v="2"/>
    <x v="16"/>
    <n v="0"/>
    <x v="16"/>
    <x v="1"/>
  </r>
  <r>
    <x v="1"/>
    <x v="2"/>
    <x v="1"/>
    <x v="1"/>
    <x v="2"/>
    <x v="17"/>
    <n v="2"/>
    <x v="17"/>
    <x v="1"/>
  </r>
  <r>
    <x v="1"/>
    <x v="2"/>
    <x v="1"/>
    <x v="1"/>
    <x v="2"/>
    <x v="18"/>
    <n v="1"/>
    <x v="18"/>
    <x v="1"/>
  </r>
  <r>
    <x v="1"/>
    <x v="2"/>
    <x v="1"/>
    <x v="1"/>
    <x v="2"/>
    <x v="19"/>
    <n v="0"/>
    <x v="19"/>
    <x v="0"/>
  </r>
  <r>
    <x v="1"/>
    <x v="2"/>
    <x v="1"/>
    <x v="2"/>
    <x v="0"/>
    <x v="0"/>
    <n v="1"/>
    <x v="0"/>
    <x v="0"/>
  </r>
  <r>
    <x v="1"/>
    <x v="2"/>
    <x v="1"/>
    <x v="2"/>
    <x v="0"/>
    <x v="1"/>
    <n v="0"/>
    <x v="1"/>
    <x v="0"/>
  </r>
  <r>
    <x v="1"/>
    <x v="2"/>
    <x v="1"/>
    <x v="2"/>
    <x v="0"/>
    <x v="2"/>
    <n v="1"/>
    <x v="2"/>
    <x v="0"/>
  </r>
  <r>
    <x v="1"/>
    <x v="2"/>
    <x v="1"/>
    <x v="2"/>
    <x v="0"/>
    <x v="3"/>
    <n v="1"/>
    <x v="3"/>
    <x v="0"/>
  </r>
  <r>
    <x v="1"/>
    <x v="2"/>
    <x v="1"/>
    <x v="2"/>
    <x v="0"/>
    <x v="4"/>
    <n v="1"/>
    <x v="4"/>
    <x v="1"/>
  </r>
  <r>
    <x v="1"/>
    <x v="2"/>
    <x v="1"/>
    <x v="2"/>
    <x v="0"/>
    <x v="5"/>
    <n v="0"/>
    <x v="5"/>
    <x v="1"/>
  </r>
  <r>
    <x v="1"/>
    <x v="2"/>
    <x v="1"/>
    <x v="2"/>
    <x v="0"/>
    <x v="6"/>
    <n v="1"/>
    <x v="6"/>
    <x v="1"/>
  </r>
  <r>
    <x v="1"/>
    <x v="2"/>
    <x v="1"/>
    <x v="2"/>
    <x v="0"/>
    <x v="7"/>
    <n v="0"/>
    <x v="7"/>
    <x v="1"/>
  </r>
  <r>
    <x v="1"/>
    <x v="2"/>
    <x v="1"/>
    <x v="2"/>
    <x v="1"/>
    <x v="8"/>
    <n v="0"/>
    <x v="8"/>
    <x v="1"/>
  </r>
  <r>
    <x v="1"/>
    <x v="2"/>
    <x v="1"/>
    <x v="2"/>
    <x v="1"/>
    <x v="9"/>
    <n v="0"/>
    <x v="9"/>
    <x v="1"/>
  </r>
  <r>
    <x v="1"/>
    <x v="2"/>
    <x v="1"/>
    <x v="2"/>
    <x v="1"/>
    <x v="10"/>
    <n v="0"/>
    <x v="10"/>
    <x v="1"/>
  </r>
  <r>
    <x v="1"/>
    <x v="2"/>
    <x v="1"/>
    <x v="2"/>
    <x v="1"/>
    <x v="11"/>
    <n v="1"/>
    <x v="11"/>
    <x v="1"/>
  </r>
  <r>
    <x v="1"/>
    <x v="2"/>
    <x v="1"/>
    <x v="2"/>
    <x v="2"/>
    <x v="12"/>
    <n v="1"/>
    <x v="12"/>
    <x v="0"/>
  </r>
  <r>
    <x v="1"/>
    <x v="2"/>
    <x v="1"/>
    <x v="2"/>
    <x v="2"/>
    <x v="13"/>
    <n v="0"/>
    <x v="13"/>
    <x v="0"/>
  </r>
  <r>
    <x v="1"/>
    <x v="2"/>
    <x v="1"/>
    <x v="2"/>
    <x v="2"/>
    <x v="14"/>
    <n v="0"/>
    <x v="14"/>
    <x v="0"/>
  </r>
  <r>
    <x v="1"/>
    <x v="2"/>
    <x v="1"/>
    <x v="2"/>
    <x v="2"/>
    <x v="15"/>
    <n v="1"/>
    <x v="15"/>
    <x v="1"/>
  </r>
  <r>
    <x v="1"/>
    <x v="2"/>
    <x v="1"/>
    <x v="2"/>
    <x v="2"/>
    <x v="16"/>
    <n v="0"/>
    <x v="16"/>
    <x v="1"/>
  </r>
  <r>
    <x v="1"/>
    <x v="2"/>
    <x v="1"/>
    <x v="2"/>
    <x v="2"/>
    <x v="17"/>
    <n v="0"/>
    <x v="17"/>
    <x v="1"/>
  </r>
  <r>
    <x v="1"/>
    <x v="2"/>
    <x v="1"/>
    <x v="2"/>
    <x v="2"/>
    <x v="18"/>
    <n v="0"/>
    <x v="18"/>
    <x v="1"/>
  </r>
  <r>
    <x v="1"/>
    <x v="2"/>
    <x v="1"/>
    <x v="2"/>
    <x v="2"/>
    <x v="19"/>
    <n v="1"/>
    <x v="19"/>
    <x v="0"/>
  </r>
  <r>
    <x v="1"/>
    <x v="3"/>
    <x v="2"/>
    <x v="0"/>
    <x v="0"/>
    <x v="0"/>
    <n v="39"/>
    <x v="0"/>
    <x v="0"/>
  </r>
  <r>
    <x v="1"/>
    <x v="3"/>
    <x v="2"/>
    <x v="0"/>
    <x v="0"/>
    <x v="1"/>
    <n v="55"/>
    <x v="1"/>
    <x v="0"/>
  </r>
  <r>
    <x v="1"/>
    <x v="3"/>
    <x v="2"/>
    <x v="0"/>
    <x v="0"/>
    <x v="2"/>
    <n v="64"/>
    <x v="2"/>
    <x v="0"/>
  </r>
  <r>
    <x v="1"/>
    <x v="3"/>
    <x v="2"/>
    <x v="0"/>
    <x v="0"/>
    <x v="3"/>
    <n v="65"/>
    <x v="3"/>
    <x v="0"/>
  </r>
  <r>
    <x v="1"/>
    <x v="3"/>
    <x v="2"/>
    <x v="0"/>
    <x v="0"/>
    <x v="4"/>
    <n v="62"/>
    <x v="4"/>
    <x v="1"/>
  </r>
  <r>
    <x v="1"/>
    <x v="3"/>
    <x v="2"/>
    <x v="0"/>
    <x v="0"/>
    <x v="5"/>
    <n v="87"/>
    <x v="5"/>
    <x v="1"/>
  </r>
  <r>
    <x v="1"/>
    <x v="3"/>
    <x v="2"/>
    <x v="0"/>
    <x v="0"/>
    <x v="6"/>
    <n v="68"/>
    <x v="6"/>
    <x v="1"/>
  </r>
  <r>
    <x v="1"/>
    <x v="3"/>
    <x v="2"/>
    <x v="0"/>
    <x v="0"/>
    <x v="7"/>
    <n v="51"/>
    <x v="7"/>
    <x v="1"/>
  </r>
  <r>
    <x v="1"/>
    <x v="3"/>
    <x v="2"/>
    <x v="0"/>
    <x v="1"/>
    <x v="8"/>
    <n v="15"/>
    <x v="8"/>
    <x v="1"/>
  </r>
  <r>
    <x v="1"/>
    <x v="3"/>
    <x v="2"/>
    <x v="0"/>
    <x v="1"/>
    <x v="9"/>
    <n v="19"/>
    <x v="9"/>
    <x v="1"/>
  </r>
  <r>
    <x v="1"/>
    <x v="3"/>
    <x v="2"/>
    <x v="0"/>
    <x v="1"/>
    <x v="10"/>
    <n v="14"/>
    <x v="10"/>
    <x v="1"/>
  </r>
  <r>
    <x v="1"/>
    <x v="3"/>
    <x v="2"/>
    <x v="0"/>
    <x v="1"/>
    <x v="11"/>
    <n v="22"/>
    <x v="11"/>
    <x v="1"/>
  </r>
  <r>
    <x v="1"/>
    <x v="3"/>
    <x v="2"/>
    <x v="0"/>
    <x v="2"/>
    <x v="12"/>
    <n v="25"/>
    <x v="12"/>
    <x v="0"/>
  </r>
  <r>
    <x v="1"/>
    <x v="3"/>
    <x v="2"/>
    <x v="0"/>
    <x v="2"/>
    <x v="13"/>
    <n v="27"/>
    <x v="13"/>
    <x v="0"/>
  </r>
  <r>
    <x v="1"/>
    <x v="3"/>
    <x v="2"/>
    <x v="0"/>
    <x v="2"/>
    <x v="14"/>
    <n v="37"/>
    <x v="14"/>
    <x v="0"/>
  </r>
  <r>
    <x v="1"/>
    <x v="3"/>
    <x v="2"/>
    <x v="0"/>
    <x v="2"/>
    <x v="15"/>
    <n v="20"/>
    <x v="15"/>
    <x v="1"/>
  </r>
  <r>
    <x v="1"/>
    <x v="3"/>
    <x v="2"/>
    <x v="0"/>
    <x v="2"/>
    <x v="16"/>
    <n v="33"/>
    <x v="16"/>
    <x v="1"/>
  </r>
  <r>
    <x v="1"/>
    <x v="3"/>
    <x v="2"/>
    <x v="0"/>
    <x v="2"/>
    <x v="17"/>
    <n v="30"/>
    <x v="17"/>
    <x v="1"/>
  </r>
  <r>
    <x v="1"/>
    <x v="3"/>
    <x v="2"/>
    <x v="0"/>
    <x v="2"/>
    <x v="18"/>
    <n v="22"/>
    <x v="18"/>
    <x v="1"/>
  </r>
  <r>
    <x v="1"/>
    <x v="3"/>
    <x v="2"/>
    <x v="0"/>
    <x v="2"/>
    <x v="19"/>
    <n v="20"/>
    <x v="19"/>
    <x v="0"/>
  </r>
  <r>
    <x v="1"/>
    <x v="3"/>
    <x v="2"/>
    <x v="1"/>
    <x v="0"/>
    <x v="0"/>
    <n v="0"/>
    <x v="0"/>
    <x v="0"/>
  </r>
  <r>
    <x v="1"/>
    <x v="3"/>
    <x v="2"/>
    <x v="1"/>
    <x v="0"/>
    <x v="1"/>
    <n v="1"/>
    <x v="1"/>
    <x v="0"/>
  </r>
  <r>
    <x v="1"/>
    <x v="3"/>
    <x v="2"/>
    <x v="1"/>
    <x v="0"/>
    <x v="2"/>
    <n v="1"/>
    <x v="2"/>
    <x v="0"/>
  </r>
  <r>
    <x v="1"/>
    <x v="3"/>
    <x v="2"/>
    <x v="1"/>
    <x v="0"/>
    <x v="3"/>
    <n v="0"/>
    <x v="3"/>
    <x v="0"/>
  </r>
  <r>
    <x v="1"/>
    <x v="3"/>
    <x v="2"/>
    <x v="1"/>
    <x v="0"/>
    <x v="4"/>
    <n v="2"/>
    <x v="4"/>
    <x v="1"/>
  </r>
  <r>
    <x v="1"/>
    <x v="3"/>
    <x v="2"/>
    <x v="1"/>
    <x v="0"/>
    <x v="5"/>
    <n v="1"/>
    <x v="5"/>
    <x v="1"/>
  </r>
  <r>
    <x v="1"/>
    <x v="3"/>
    <x v="2"/>
    <x v="1"/>
    <x v="0"/>
    <x v="6"/>
    <n v="1"/>
    <x v="6"/>
    <x v="1"/>
  </r>
  <r>
    <x v="1"/>
    <x v="3"/>
    <x v="2"/>
    <x v="1"/>
    <x v="0"/>
    <x v="7"/>
    <n v="1"/>
    <x v="7"/>
    <x v="1"/>
  </r>
  <r>
    <x v="1"/>
    <x v="3"/>
    <x v="2"/>
    <x v="1"/>
    <x v="1"/>
    <x v="8"/>
    <n v="0"/>
    <x v="8"/>
    <x v="1"/>
  </r>
  <r>
    <x v="1"/>
    <x v="3"/>
    <x v="2"/>
    <x v="1"/>
    <x v="1"/>
    <x v="9"/>
    <n v="1"/>
    <x v="9"/>
    <x v="1"/>
  </r>
  <r>
    <x v="1"/>
    <x v="3"/>
    <x v="2"/>
    <x v="1"/>
    <x v="1"/>
    <x v="10"/>
    <n v="0"/>
    <x v="10"/>
    <x v="1"/>
  </r>
  <r>
    <x v="1"/>
    <x v="3"/>
    <x v="2"/>
    <x v="1"/>
    <x v="1"/>
    <x v="11"/>
    <n v="2"/>
    <x v="11"/>
    <x v="1"/>
  </r>
  <r>
    <x v="1"/>
    <x v="3"/>
    <x v="2"/>
    <x v="1"/>
    <x v="2"/>
    <x v="12"/>
    <n v="1"/>
    <x v="12"/>
    <x v="0"/>
  </r>
  <r>
    <x v="1"/>
    <x v="3"/>
    <x v="2"/>
    <x v="1"/>
    <x v="2"/>
    <x v="13"/>
    <n v="0"/>
    <x v="13"/>
    <x v="0"/>
  </r>
  <r>
    <x v="1"/>
    <x v="3"/>
    <x v="2"/>
    <x v="1"/>
    <x v="2"/>
    <x v="14"/>
    <n v="2"/>
    <x v="14"/>
    <x v="0"/>
  </r>
  <r>
    <x v="1"/>
    <x v="3"/>
    <x v="2"/>
    <x v="1"/>
    <x v="2"/>
    <x v="15"/>
    <n v="0"/>
    <x v="15"/>
    <x v="1"/>
  </r>
  <r>
    <x v="1"/>
    <x v="3"/>
    <x v="2"/>
    <x v="1"/>
    <x v="2"/>
    <x v="16"/>
    <n v="1"/>
    <x v="16"/>
    <x v="1"/>
  </r>
  <r>
    <x v="1"/>
    <x v="3"/>
    <x v="2"/>
    <x v="1"/>
    <x v="2"/>
    <x v="17"/>
    <n v="1"/>
    <x v="17"/>
    <x v="1"/>
  </r>
  <r>
    <x v="1"/>
    <x v="3"/>
    <x v="2"/>
    <x v="1"/>
    <x v="2"/>
    <x v="18"/>
    <n v="1"/>
    <x v="18"/>
    <x v="1"/>
  </r>
  <r>
    <x v="1"/>
    <x v="3"/>
    <x v="2"/>
    <x v="1"/>
    <x v="2"/>
    <x v="19"/>
    <n v="1"/>
    <x v="19"/>
    <x v="0"/>
  </r>
  <r>
    <x v="1"/>
    <x v="3"/>
    <x v="2"/>
    <x v="2"/>
    <x v="0"/>
    <x v="0"/>
    <n v="1"/>
    <x v="0"/>
    <x v="0"/>
  </r>
  <r>
    <x v="1"/>
    <x v="3"/>
    <x v="2"/>
    <x v="2"/>
    <x v="0"/>
    <x v="1"/>
    <n v="4"/>
    <x v="1"/>
    <x v="0"/>
  </r>
  <r>
    <x v="1"/>
    <x v="3"/>
    <x v="2"/>
    <x v="2"/>
    <x v="0"/>
    <x v="2"/>
    <n v="6"/>
    <x v="2"/>
    <x v="0"/>
  </r>
  <r>
    <x v="1"/>
    <x v="3"/>
    <x v="2"/>
    <x v="2"/>
    <x v="0"/>
    <x v="3"/>
    <n v="6"/>
    <x v="3"/>
    <x v="0"/>
  </r>
  <r>
    <x v="1"/>
    <x v="3"/>
    <x v="2"/>
    <x v="2"/>
    <x v="0"/>
    <x v="4"/>
    <n v="9"/>
    <x v="4"/>
    <x v="1"/>
  </r>
  <r>
    <x v="1"/>
    <x v="3"/>
    <x v="2"/>
    <x v="2"/>
    <x v="0"/>
    <x v="5"/>
    <n v="10"/>
    <x v="5"/>
    <x v="1"/>
  </r>
  <r>
    <x v="1"/>
    <x v="3"/>
    <x v="2"/>
    <x v="2"/>
    <x v="0"/>
    <x v="6"/>
    <n v="7"/>
    <x v="6"/>
    <x v="1"/>
  </r>
  <r>
    <x v="1"/>
    <x v="3"/>
    <x v="2"/>
    <x v="2"/>
    <x v="0"/>
    <x v="7"/>
    <n v="1"/>
    <x v="7"/>
    <x v="1"/>
  </r>
  <r>
    <x v="1"/>
    <x v="3"/>
    <x v="2"/>
    <x v="2"/>
    <x v="1"/>
    <x v="8"/>
    <n v="0"/>
    <x v="8"/>
    <x v="1"/>
  </r>
  <r>
    <x v="1"/>
    <x v="3"/>
    <x v="2"/>
    <x v="2"/>
    <x v="1"/>
    <x v="9"/>
    <n v="0"/>
    <x v="9"/>
    <x v="1"/>
  </r>
  <r>
    <x v="1"/>
    <x v="3"/>
    <x v="2"/>
    <x v="2"/>
    <x v="1"/>
    <x v="10"/>
    <n v="0"/>
    <x v="10"/>
    <x v="1"/>
  </r>
  <r>
    <x v="1"/>
    <x v="3"/>
    <x v="2"/>
    <x v="2"/>
    <x v="1"/>
    <x v="11"/>
    <n v="1"/>
    <x v="11"/>
    <x v="1"/>
  </r>
  <r>
    <x v="1"/>
    <x v="3"/>
    <x v="2"/>
    <x v="2"/>
    <x v="2"/>
    <x v="12"/>
    <n v="0"/>
    <x v="12"/>
    <x v="0"/>
  </r>
  <r>
    <x v="1"/>
    <x v="3"/>
    <x v="2"/>
    <x v="2"/>
    <x v="2"/>
    <x v="13"/>
    <n v="0"/>
    <x v="13"/>
    <x v="0"/>
  </r>
  <r>
    <x v="1"/>
    <x v="3"/>
    <x v="2"/>
    <x v="2"/>
    <x v="2"/>
    <x v="14"/>
    <n v="0"/>
    <x v="14"/>
    <x v="0"/>
  </r>
  <r>
    <x v="1"/>
    <x v="3"/>
    <x v="2"/>
    <x v="2"/>
    <x v="2"/>
    <x v="15"/>
    <n v="0"/>
    <x v="15"/>
    <x v="1"/>
  </r>
  <r>
    <x v="1"/>
    <x v="3"/>
    <x v="2"/>
    <x v="2"/>
    <x v="2"/>
    <x v="16"/>
    <n v="2"/>
    <x v="16"/>
    <x v="1"/>
  </r>
  <r>
    <x v="1"/>
    <x v="3"/>
    <x v="2"/>
    <x v="2"/>
    <x v="2"/>
    <x v="17"/>
    <n v="0"/>
    <x v="17"/>
    <x v="1"/>
  </r>
  <r>
    <x v="1"/>
    <x v="3"/>
    <x v="2"/>
    <x v="2"/>
    <x v="2"/>
    <x v="18"/>
    <n v="0"/>
    <x v="18"/>
    <x v="1"/>
  </r>
  <r>
    <x v="1"/>
    <x v="3"/>
    <x v="2"/>
    <x v="2"/>
    <x v="2"/>
    <x v="19"/>
    <n v="0"/>
    <x v="19"/>
    <x v="0"/>
  </r>
  <r>
    <x v="2"/>
    <x v="4"/>
    <x v="2"/>
    <x v="0"/>
    <x v="0"/>
    <x v="0"/>
    <n v="58"/>
    <x v="0"/>
    <x v="0"/>
  </r>
  <r>
    <x v="2"/>
    <x v="4"/>
    <x v="2"/>
    <x v="0"/>
    <x v="0"/>
    <x v="1"/>
    <n v="64"/>
    <x v="1"/>
    <x v="0"/>
  </r>
  <r>
    <x v="2"/>
    <x v="4"/>
    <x v="2"/>
    <x v="0"/>
    <x v="0"/>
    <x v="2"/>
    <n v="107"/>
    <x v="2"/>
    <x v="0"/>
  </r>
  <r>
    <x v="2"/>
    <x v="4"/>
    <x v="2"/>
    <x v="0"/>
    <x v="0"/>
    <x v="3"/>
    <n v="110"/>
    <x v="3"/>
    <x v="0"/>
  </r>
  <r>
    <x v="2"/>
    <x v="4"/>
    <x v="2"/>
    <x v="0"/>
    <x v="0"/>
    <x v="4"/>
    <n v="126"/>
    <x v="4"/>
    <x v="1"/>
  </r>
  <r>
    <x v="2"/>
    <x v="4"/>
    <x v="2"/>
    <x v="0"/>
    <x v="0"/>
    <x v="5"/>
    <n v="135"/>
    <x v="5"/>
    <x v="1"/>
  </r>
  <r>
    <x v="2"/>
    <x v="4"/>
    <x v="2"/>
    <x v="0"/>
    <x v="0"/>
    <x v="6"/>
    <n v="135"/>
    <x v="6"/>
    <x v="1"/>
  </r>
  <r>
    <x v="2"/>
    <x v="4"/>
    <x v="2"/>
    <x v="0"/>
    <x v="0"/>
    <x v="7"/>
    <n v="104"/>
    <x v="7"/>
    <x v="1"/>
  </r>
  <r>
    <x v="2"/>
    <x v="4"/>
    <x v="2"/>
    <x v="0"/>
    <x v="1"/>
    <x v="8"/>
    <n v="41"/>
    <x v="8"/>
    <x v="1"/>
  </r>
  <r>
    <x v="2"/>
    <x v="4"/>
    <x v="2"/>
    <x v="0"/>
    <x v="1"/>
    <x v="9"/>
    <n v="37"/>
    <x v="9"/>
    <x v="1"/>
  </r>
  <r>
    <x v="2"/>
    <x v="4"/>
    <x v="2"/>
    <x v="0"/>
    <x v="1"/>
    <x v="10"/>
    <n v="43"/>
    <x v="10"/>
    <x v="1"/>
  </r>
  <r>
    <x v="2"/>
    <x v="4"/>
    <x v="2"/>
    <x v="0"/>
    <x v="1"/>
    <x v="11"/>
    <n v="38"/>
    <x v="11"/>
    <x v="1"/>
  </r>
  <r>
    <x v="2"/>
    <x v="4"/>
    <x v="2"/>
    <x v="0"/>
    <x v="2"/>
    <x v="12"/>
    <n v="69"/>
    <x v="12"/>
    <x v="0"/>
  </r>
  <r>
    <x v="2"/>
    <x v="4"/>
    <x v="2"/>
    <x v="0"/>
    <x v="2"/>
    <x v="13"/>
    <n v="96"/>
    <x v="13"/>
    <x v="0"/>
  </r>
  <r>
    <x v="2"/>
    <x v="4"/>
    <x v="2"/>
    <x v="0"/>
    <x v="2"/>
    <x v="14"/>
    <n v="98"/>
    <x v="14"/>
    <x v="0"/>
  </r>
  <r>
    <x v="2"/>
    <x v="4"/>
    <x v="2"/>
    <x v="0"/>
    <x v="2"/>
    <x v="15"/>
    <n v="104"/>
    <x v="15"/>
    <x v="1"/>
  </r>
  <r>
    <x v="2"/>
    <x v="4"/>
    <x v="2"/>
    <x v="0"/>
    <x v="2"/>
    <x v="16"/>
    <n v="95"/>
    <x v="16"/>
    <x v="1"/>
  </r>
  <r>
    <x v="2"/>
    <x v="4"/>
    <x v="2"/>
    <x v="0"/>
    <x v="2"/>
    <x v="17"/>
    <n v="107"/>
    <x v="17"/>
    <x v="1"/>
  </r>
  <r>
    <x v="2"/>
    <x v="4"/>
    <x v="2"/>
    <x v="0"/>
    <x v="2"/>
    <x v="18"/>
    <n v="108"/>
    <x v="18"/>
    <x v="1"/>
  </r>
  <r>
    <x v="2"/>
    <x v="4"/>
    <x v="2"/>
    <x v="0"/>
    <x v="2"/>
    <x v="19"/>
    <n v="68"/>
    <x v="19"/>
    <x v="0"/>
  </r>
  <r>
    <x v="2"/>
    <x v="4"/>
    <x v="2"/>
    <x v="1"/>
    <x v="0"/>
    <x v="0"/>
    <n v="3"/>
    <x v="0"/>
    <x v="0"/>
  </r>
  <r>
    <x v="2"/>
    <x v="4"/>
    <x v="2"/>
    <x v="1"/>
    <x v="0"/>
    <x v="1"/>
    <n v="2"/>
    <x v="1"/>
    <x v="0"/>
  </r>
  <r>
    <x v="2"/>
    <x v="4"/>
    <x v="2"/>
    <x v="1"/>
    <x v="0"/>
    <x v="2"/>
    <n v="1"/>
    <x v="2"/>
    <x v="0"/>
  </r>
  <r>
    <x v="2"/>
    <x v="4"/>
    <x v="2"/>
    <x v="1"/>
    <x v="0"/>
    <x v="3"/>
    <n v="4"/>
    <x v="3"/>
    <x v="0"/>
  </r>
  <r>
    <x v="2"/>
    <x v="4"/>
    <x v="2"/>
    <x v="1"/>
    <x v="0"/>
    <x v="4"/>
    <n v="2"/>
    <x v="4"/>
    <x v="1"/>
  </r>
  <r>
    <x v="2"/>
    <x v="4"/>
    <x v="2"/>
    <x v="1"/>
    <x v="0"/>
    <x v="5"/>
    <n v="2"/>
    <x v="5"/>
    <x v="1"/>
  </r>
  <r>
    <x v="2"/>
    <x v="4"/>
    <x v="2"/>
    <x v="1"/>
    <x v="0"/>
    <x v="6"/>
    <n v="3"/>
    <x v="6"/>
    <x v="1"/>
  </r>
  <r>
    <x v="2"/>
    <x v="4"/>
    <x v="2"/>
    <x v="1"/>
    <x v="0"/>
    <x v="7"/>
    <n v="5"/>
    <x v="7"/>
    <x v="1"/>
  </r>
  <r>
    <x v="2"/>
    <x v="4"/>
    <x v="2"/>
    <x v="1"/>
    <x v="1"/>
    <x v="8"/>
    <n v="3"/>
    <x v="8"/>
    <x v="1"/>
  </r>
  <r>
    <x v="2"/>
    <x v="4"/>
    <x v="2"/>
    <x v="1"/>
    <x v="1"/>
    <x v="9"/>
    <n v="0"/>
    <x v="9"/>
    <x v="1"/>
  </r>
  <r>
    <x v="2"/>
    <x v="4"/>
    <x v="2"/>
    <x v="1"/>
    <x v="1"/>
    <x v="10"/>
    <n v="1"/>
    <x v="10"/>
    <x v="1"/>
  </r>
  <r>
    <x v="2"/>
    <x v="4"/>
    <x v="2"/>
    <x v="1"/>
    <x v="1"/>
    <x v="11"/>
    <n v="1"/>
    <x v="11"/>
    <x v="1"/>
  </r>
  <r>
    <x v="2"/>
    <x v="4"/>
    <x v="2"/>
    <x v="1"/>
    <x v="2"/>
    <x v="12"/>
    <n v="3"/>
    <x v="12"/>
    <x v="0"/>
  </r>
  <r>
    <x v="2"/>
    <x v="4"/>
    <x v="2"/>
    <x v="1"/>
    <x v="2"/>
    <x v="13"/>
    <n v="2"/>
    <x v="13"/>
    <x v="0"/>
  </r>
  <r>
    <x v="2"/>
    <x v="4"/>
    <x v="2"/>
    <x v="1"/>
    <x v="2"/>
    <x v="14"/>
    <n v="2"/>
    <x v="14"/>
    <x v="0"/>
  </r>
  <r>
    <x v="2"/>
    <x v="4"/>
    <x v="2"/>
    <x v="1"/>
    <x v="2"/>
    <x v="15"/>
    <n v="0"/>
    <x v="15"/>
    <x v="1"/>
  </r>
  <r>
    <x v="2"/>
    <x v="4"/>
    <x v="2"/>
    <x v="1"/>
    <x v="2"/>
    <x v="16"/>
    <n v="2"/>
    <x v="16"/>
    <x v="1"/>
  </r>
  <r>
    <x v="2"/>
    <x v="4"/>
    <x v="2"/>
    <x v="1"/>
    <x v="2"/>
    <x v="17"/>
    <n v="6"/>
    <x v="17"/>
    <x v="1"/>
  </r>
  <r>
    <x v="2"/>
    <x v="4"/>
    <x v="2"/>
    <x v="1"/>
    <x v="2"/>
    <x v="18"/>
    <n v="0"/>
    <x v="18"/>
    <x v="1"/>
  </r>
  <r>
    <x v="2"/>
    <x v="4"/>
    <x v="2"/>
    <x v="1"/>
    <x v="2"/>
    <x v="19"/>
    <n v="0"/>
    <x v="19"/>
    <x v="0"/>
  </r>
  <r>
    <x v="2"/>
    <x v="4"/>
    <x v="2"/>
    <x v="2"/>
    <x v="0"/>
    <x v="0"/>
    <n v="4"/>
    <x v="0"/>
    <x v="0"/>
  </r>
  <r>
    <x v="2"/>
    <x v="4"/>
    <x v="2"/>
    <x v="2"/>
    <x v="0"/>
    <x v="1"/>
    <n v="1"/>
    <x v="1"/>
    <x v="0"/>
  </r>
  <r>
    <x v="2"/>
    <x v="4"/>
    <x v="2"/>
    <x v="2"/>
    <x v="0"/>
    <x v="2"/>
    <n v="6"/>
    <x v="2"/>
    <x v="0"/>
  </r>
  <r>
    <x v="2"/>
    <x v="4"/>
    <x v="2"/>
    <x v="2"/>
    <x v="0"/>
    <x v="3"/>
    <n v="2"/>
    <x v="3"/>
    <x v="0"/>
  </r>
  <r>
    <x v="2"/>
    <x v="4"/>
    <x v="2"/>
    <x v="2"/>
    <x v="0"/>
    <x v="4"/>
    <n v="8"/>
    <x v="4"/>
    <x v="1"/>
  </r>
  <r>
    <x v="2"/>
    <x v="4"/>
    <x v="2"/>
    <x v="2"/>
    <x v="0"/>
    <x v="5"/>
    <n v="3"/>
    <x v="5"/>
    <x v="1"/>
  </r>
  <r>
    <x v="2"/>
    <x v="4"/>
    <x v="2"/>
    <x v="2"/>
    <x v="0"/>
    <x v="6"/>
    <n v="9"/>
    <x v="6"/>
    <x v="1"/>
  </r>
  <r>
    <x v="2"/>
    <x v="4"/>
    <x v="2"/>
    <x v="2"/>
    <x v="0"/>
    <x v="7"/>
    <n v="6"/>
    <x v="7"/>
    <x v="1"/>
  </r>
  <r>
    <x v="2"/>
    <x v="4"/>
    <x v="2"/>
    <x v="2"/>
    <x v="1"/>
    <x v="8"/>
    <n v="2"/>
    <x v="8"/>
    <x v="1"/>
  </r>
  <r>
    <x v="2"/>
    <x v="4"/>
    <x v="2"/>
    <x v="2"/>
    <x v="1"/>
    <x v="9"/>
    <n v="2"/>
    <x v="9"/>
    <x v="1"/>
  </r>
  <r>
    <x v="2"/>
    <x v="4"/>
    <x v="2"/>
    <x v="2"/>
    <x v="1"/>
    <x v="10"/>
    <n v="2"/>
    <x v="10"/>
    <x v="1"/>
  </r>
  <r>
    <x v="2"/>
    <x v="4"/>
    <x v="2"/>
    <x v="2"/>
    <x v="1"/>
    <x v="11"/>
    <n v="2"/>
    <x v="11"/>
    <x v="1"/>
  </r>
  <r>
    <x v="2"/>
    <x v="4"/>
    <x v="2"/>
    <x v="2"/>
    <x v="2"/>
    <x v="12"/>
    <n v="3"/>
    <x v="12"/>
    <x v="0"/>
  </r>
  <r>
    <x v="2"/>
    <x v="4"/>
    <x v="2"/>
    <x v="2"/>
    <x v="2"/>
    <x v="13"/>
    <n v="4"/>
    <x v="13"/>
    <x v="0"/>
  </r>
  <r>
    <x v="2"/>
    <x v="4"/>
    <x v="2"/>
    <x v="2"/>
    <x v="2"/>
    <x v="14"/>
    <n v="1"/>
    <x v="14"/>
    <x v="0"/>
  </r>
  <r>
    <x v="2"/>
    <x v="4"/>
    <x v="2"/>
    <x v="2"/>
    <x v="2"/>
    <x v="15"/>
    <n v="8"/>
    <x v="15"/>
    <x v="1"/>
  </r>
  <r>
    <x v="2"/>
    <x v="4"/>
    <x v="2"/>
    <x v="2"/>
    <x v="2"/>
    <x v="16"/>
    <n v="3"/>
    <x v="16"/>
    <x v="1"/>
  </r>
  <r>
    <x v="2"/>
    <x v="4"/>
    <x v="2"/>
    <x v="2"/>
    <x v="2"/>
    <x v="17"/>
    <n v="4"/>
    <x v="17"/>
    <x v="1"/>
  </r>
  <r>
    <x v="2"/>
    <x v="4"/>
    <x v="2"/>
    <x v="2"/>
    <x v="2"/>
    <x v="18"/>
    <n v="9"/>
    <x v="18"/>
    <x v="1"/>
  </r>
  <r>
    <x v="2"/>
    <x v="4"/>
    <x v="2"/>
    <x v="2"/>
    <x v="2"/>
    <x v="19"/>
    <n v="6"/>
    <x v="19"/>
    <x v="0"/>
  </r>
  <r>
    <x v="2"/>
    <x v="5"/>
    <x v="0"/>
    <x v="0"/>
    <x v="0"/>
    <x v="0"/>
    <n v="4"/>
    <x v="0"/>
    <x v="0"/>
  </r>
  <r>
    <x v="2"/>
    <x v="5"/>
    <x v="0"/>
    <x v="0"/>
    <x v="0"/>
    <x v="1"/>
    <n v="9"/>
    <x v="1"/>
    <x v="0"/>
  </r>
  <r>
    <x v="2"/>
    <x v="5"/>
    <x v="0"/>
    <x v="0"/>
    <x v="0"/>
    <x v="2"/>
    <n v="8"/>
    <x v="2"/>
    <x v="0"/>
  </r>
  <r>
    <x v="2"/>
    <x v="5"/>
    <x v="0"/>
    <x v="0"/>
    <x v="0"/>
    <x v="3"/>
    <n v="5"/>
    <x v="3"/>
    <x v="0"/>
  </r>
  <r>
    <x v="2"/>
    <x v="5"/>
    <x v="0"/>
    <x v="0"/>
    <x v="0"/>
    <x v="4"/>
    <n v="6"/>
    <x v="4"/>
    <x v="1"/>
  </r>
  <r>
    <x v="2"/>
    <x v="5"/>
    <x v="0"/>
    <x v="0"/>
    <x v="0"/>
    <x v="5"/>
    <n v="8"/>
    <x v="5"/>
    <x v="1"/>
  </r>
  <r>
    <x v="2"/>
    <x v="5"/>
    <x v="0"/>
    <x v="0"/>
    <x v="0"/>
    <x v="6"/>
    <n v="4"/>
    <x v="6"/>
    <x v="1"/>
  </r>
  <r>
    <x v="2"/>
    <x v="5"/>
    <x v="0"/>
    <x v="0"/>
    <x v="0"/>
    <x v="7"/>
    <n v="9"/>
    <x v="7"/>
    <x v="1"/>
  </r>
  <r>
    <x v="2"/>
    <x v="5"/>
    <x v="0"/>
    <x v="0"/>
    <x v="1"/>
    <x v="8"/>
    <n v="11"/>
    <x v="8"/>
    <x v="1"/>
  </r>
  <r>
    <x v="2"/>
    <x v="5"/>
    <x v="0"/>
    <x v="0"/>
    <x v="1"/>
    <x v="9"/>
    <n v="13"/>
    <x v="9"/>
    <x v="1"/>
  </r>
  <r>
    <x v="2"/>
    <x v="5"/>
    <x v="0"/>
    <x v="0"/>
    <x v="1"/>
    <x v="10"/>
    <n v="9"/>
    <x v="10"/>
    <x v="1"/>
  </r>
  <r>
    <x v="2"/>
    <x v="5"/>
    <x v="0"/>
    <x v="0"/>
    <x v="1"/>
    <x v="11"/>
    <n v="7"/>
    <x v="11"/>
    <x v="1"/>
  </r>
  <r>
    <x v="2"/>
    <x v="5"/>
    <x v="0"/>
    <x v="0"/>
    <x v="2"/>
    <x v="12"/>
    <n v="21"/>
    <x v="12"/>
    <x v="0"/>
  </r>
  <r>
    <x v="2"/>
    <x v="5"/>
    <x v="0"/>
    <x v="0"/>
    <x v="2"/>
    <x v="13"/>
    <n v="18"/>
    <x v="13"/>
    <x v="0"/>
  </r>
  <r>
    <x v="2"/>
    <x v="5"/>
    <x v="0"/>
    <x v="0"/>
    <x v="2"/>
    <x v="14"/>
    <n v="15"/>
    <x v="14"/>
    <x v="0"/>
  </r>
  <r>
    <x v="2"/>
    <x v="5"/>
    <x v="0"/>
    <x v="0"/>
    <x v="2"/>
    <x v="15"/>
    <n v="31"/>
    <x v="15"/>
    <x v="1"/>
  </r>
  <r>
    <x v="2"/>
    <x v="5"/>
    <x v="0"/>
    <x v="0"/>
    <x v="2"/>
    <x v="16"/>
    <n v="26"/>
    <x v="16"/>
    <x v="1"/>
  </r>
  <r>
    <x v="2"/>
    <x v="5"/>
    <x v="0"/>
    <x v="0"/>
    <x v="2"/>
    <x v="17"/>
    <n v="18"/>
    <x v="17"/>
    <x v="1"/>
  </r>
  <r>
    <x v="2"/>
    <x v="5"/>
    <x v="0"/>
    <x v="0"/>
    <x v="2"/>
    <x v="18"/>
    <n v="33"/>
    <x v="18"/>
    <x v="1"/>
  </r>
  <r>
    <x v="2"/>
    <x v="5"/>
    <x v="0"/>
    <x v="0"/>
    <x v="2"/>
    <x v="19"/>
    <n v="15"/>
    <x v="19"/>
    <x v="0"/>
  </r>
  <r>
    <x v="2"/>
    <x v="5"/>
    <x v="0"/>
    <x v="1"/>
    <x v="0"/>
    <x v="0"/>
    <n v="1"/>
    <x v="0"/>
    <x v="0"/>
  </r>
  <r>
    <x v="2"/>
    <x v="5"/>
    <x v="0"/>
    <x v="1"/>
    <x v="0"/>
    <x v="1"/>
    <n v="0"/>
    <x v="1"/>
    <x v="0"/>
  </r>
  <r>
    <x v="2"/>
    <x v="5"/>
    <x v="0"/>
    <x v="1"/>
    <x v="0"/>
    <x v="2"/>
    <n v="2"/>
    <x v="2"/>
    <x v="0"/>
  </r>
  <r>
    <x v="2"/>
    <x v="5"/>
    <x v="0"/>
    <x v="1"/>
    <x v="0"/>
    <x v="3"/>
    <n v="1"/>
    <x v="3"/>
    <x v="0"/>
  </r>
  <r>
    <x v="2"/>
    <x v="5"/>
    <x v="0"/>
    <x v="1"/>
    <x v="0"/>
    <x v="4"/>
    <n v="1"/>
    <x v="4"/>
    <x v="1"/>
  </r>
  <r>
    <x v="2"/>
    <x v="5"/>
    <x v="0"/>
    <x v="1"/>
    <x v="0"/>
    <x v="5"/>
    <n v="0"/>
    <x v="5"/>
    <x v="1"/>
  </r>
  <r>
    <x v="2"/>
    <x v="5"/>
    <x v="0"/>
    <x v="1"/>
    <x v="0"/>
    <x v="6"/>
    <n v="0"/>
    <x v="6"/>
    <x v="1"/>
  </r>
  <r>
    <x v="2"/>
    <x v="5"/>
    <x v="0"/>
    <x v="1"/>
    <x v="0"/>
    <x v="7"/>
    <n v="3"/>
    <x v="7"/>
    <x v="1"/>
  </r>
  <r>
    <x v="2"/>
    <x v="5"/>
    <x v="0"/>
    <x v="1"/>
    <x v="1"/>
    <x v="8"/>
    <n v="1"/>
    <x v="8"/>
    <x v="1"/>
  </r>
  <r>
    <x v="2"/>
    <x v="5"/>
    <x v="0"/>
    <x v="1"/>
    <x v="1"/>
    <x v="9"/>
    <n v="0"/>
    <x v="9"/>
    <x v="1"/>
  </r>
  <r>
    <x v="2"/>
    <x v="5"/>
    <x v="0"/>
    <x v="1"/>
    <x v="1"/>
    <x v="10"/>
    <n v="0"/>
    <x v="10"/>
    <x v="1"/>
  </r>
  <r>
    <x v="2"/>
    <x v="5"/>
    <x v="0"/>
    <x v="1"/>
    <x v="1"/>
    <x v="11"/>
    <n v="0"/>
    <x v="11"/>
    <x v="1"/>
  </r>
  <r>
    <x v="2"/>
    <x v="5"/>
    <x v="0"/>
    <x v="1"/>
    <x v="2"/>
    <x v="12"/>
    <n v="0"/>
    <x v="12"/>
    <x v="0"/>
  </r>
  <r>
    <x v="2"/>
    <x v="5"/>
    <x v="0"/>
    <x v="1"/>
    <x v="2"/>
    <x v="13"/>
    <n v="0"/>
    <x v="13"/>
    <x v="0"/>
  </r>
  <r>
    <x v="2"/>
    <x v="5"/>
    <x v="0"/>
    <x v="1"/>
    <x v="2"/>
    <x v="14"/>
    <n v="1"/>
    <x v="14"/>
    <x v="0"/>
  </r>
  <r>
    <x v="2"/>
    <x v="5"/>
    <x v="0"/>
    <x v="1"/>
    <x v="2"/>
    <x v="15"/>
    <n v="0"/>
    <x v="15"/>
    <x v="1"/>
  </r>
  <r>
    <x v="2"/>
    <x v="5"/>
    <x v="0"/>
    <x v="1"/>
    <x v="2"/>
    <x v="16"/>
    <n v="0"/>
    <x v="16"/>
    <x v="1"/>
  </r>
  <r>
    <x v="2"/>
    <x v="5"/>
    <x v="0"/>
    <x v="1"/>
    <x v="2"/>
    <x v="17"/>
    <n v="0"/>
    <x v="17"/>
    <x v="1"/>
  </r>
  <r>
    <x v="2"/>
    <x v="5"/>
    <x v="0"/>
    <x v="1"/>
    <x v="2"/>
    <x v="18"/>
    <n v="1"/>
    <x v="18"/>
    <x v="1"/>
  </r>
  <r>
    <x v="2"/>
    <x v="5"/>
    <x v="0"/>
    <x v="1"/>
    <x v="2"/>
    <x v="19"/>
    <n v="0"/>
    <x v="19"/>
    <x v="0"/>
  </r>
  <r>
    <x v="2"/>
    <x v="5"/>
    <x v="0"/>
    <x v="2"/>
    <x v="0"/>
    <x v="0"/>
    <n v="0"/>
    <x v="0"/>
    <x v="0"/>
  </r>
  <r>
    <x v="2"/>
    <x v="5"/>
    <x v="0"/>
    <x v="2"/>
    <x v="0"/>
    <x v="1"/>
    <n v="3"/>
    <x v="1"/>
    <x v="0"/>
  </r>
  <r>
    <x v="2"/>
    <x v="5"/>
    <x v="0"/>
    <x v="2"/>
    <x v="0"/>
    <x v="2"/>
    <n v="0"/>
    <x v="2"/>
    <x v="0"/>
  </r>
  <r>
    <x v="2"/>
    <x v="5"/>
    <x v="0"/>
    <x v="2"/>
    <x v="0"/>
    <x v="3"/>
    <n v="0"/>
    <x v="3"/>
    <x v="0"/>
  </r>
  <r>
    <x v="2"/>
    <x v="5"/>
    <x v="0"/>
    <x v="2"/>
    <x v="0"/>
    <x v="4"/>
    <n v="0"/>
    <x v="4"/>
    <x v="1"/>
  </r>
  <r>
    <x v="2"/>
    <x v="5"/>
    <x v="0"/>
    <x v="2"/>
    <x v="0"/>
    <x v="5"/>
    <n v="0"/>
    <x v="5"/>
    <x v="1"/>
  </r>
  <r>
    <x v="2"/>
    <x v="5"/>
    <x v="0"/>
    <x v="2"/>
    <x v="0"/>
    <x v="6"/>
    <n v="0"/>
    <x v="6"/>
    <x v="1"/>
  </r>
  <r>
    <x v="2"/>
    <x v="5"/>
    <x v="0"/>
    <x v="2"/>
    <x v="0"/>
    <x v="7"/>
    <n v="0"/>
    <x v="7"/>
    <x v="1"/>
  </r>
  <r>
    <x v="2"/>
    <x v="5"/>
    <x v="0"/>
    <x v="2"/>
    <x v="1"/>
    <x v="8"/>
    <n v="0"/>
    <x v="8"/>
    <x v="1"/>
  </r>
  <r>
    <x v="2"/>
    <x v="5"/>
    <x v="0"/>
    <x v="2"/>
    <x v="1"/>
    <x v="9"/>
    <n v="0"/>
    <x v="9"/>
    <x v="1"/>
  </r>
  <r>
    <x v="2"/>
    <x v="5"/>
    <x v="0"/>
    <x v="2"/>
    <x v="1"/>
    <x v="10"/>
    <n v="0"/>
    <x v="10"/>
    <x v="1"/>
  </r>
  <r>
    <x v="2"/>
    <x v="5"/>
    <x v="0"/>
    <x v="2"/>
    <x v="1"/>
    <x v="11"/>
    <n v="0"/>
    <x v="11"/>
    <x v="1"/>
  </r>
  <r>
    <x v="2"/>
    <x v="5"/>
    <x v="0"/>
    <x v="2"/>
    <x v="2"/>
    <x v="12"/>
    <n v="2"/>
    <x v="12"/>
    <x v="0"/>
  </r>
  <r>
    <x v="2"/>
    <x v="5"/>
    <x v="0"/>
    <x v="2"/>
    <x v="2"/>
    <x v="13"/>
    <n v="0"/>
    <x v="13"/>
    <x v="0"/>
  </r>
  <r>
    <x v="2"/>
    <x v="5"/>
    <x v="0"/>
    <x v="2"/>
    <x v="2"/>
    <x v="14"/>
    <n v="0"/>
    <x v="14"/>
    <x v="0"/>
  </r>
  <r>
    <x v="2"/>
    <x v="5"/>
    <x v="0"/>
    <x v="2"/>
    <x v="2"/>
    <x v="15"/>
    <n v="0"/>
    <x v="15"/>
    <x v="1"/>
  </r>
  <r>
    <x v="2"/>
    <x v="5"/>
    <x v="0"/>
    <x v="2"/>
    <x v="2"/>
    <x v="16"/>
    <n v="0"/>
    <x v="16"/>
    <x v="1"/>
  </r>
  <r>
    <x v="2"/>
    <x v="5"/>
    <x v="0"/>
    <x v="2"/>
    <x v="2"/>
    <x v="17"/>
    <n v="1"/>
    <x v="17"/>
    <x v="1"/>
  </r>
  <r>
    <x v="2"/>
    <x v="5"/>
    <x v="0"/>
    <x v="2"/>
    <x v="2"/>
    <x v="18"/>
    <n v="1"/>
    <x v="18"/>
    <x v="1"/>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6"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6"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6"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x="2"/>
        <item m="1" x="5"/>
        <item m="1" x="3"/>
        <item m="1" x="4"/>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6"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6"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x="1"/>
        <item m="1" x="6"/>
        <item m="1" x="3"/>
        <item m="1" x="5"/>
        <item m="1" x="4"/>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1"/>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6"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0" sqref="F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89</v>
      </c>
      <c r="D10">
        <v>1</v>
      </c>
      <c r="E10" s="1" t="s">
        <v>79</v>
      </c>
      <c r="F10" s="1"/>
    </row>
    <row r="11" spans="2:12" x14ac:dyDescent="0.25">
      <c r="B11" t="s">
        <v>2</v>
      </c>
      <c r="C11" s="23">
        <v>44250</v>
      </c>
      <c r="D11">
        <v>2</v>
      </c>
      <c r="E11" s="1" t="s">
        <v>90</v>
      </c>
      <c r="F11" s="1"/>
      <c r="I11" t="s">
        <v>11</v>
      </c>
      <c r="J11" t="s">
        <v>12</v>
      </c>
      <c r="K11" t="s">
        <v>13</v>
      </c>
      <c r="L11" t="s">
        <v>14</v>
      </c>
    </row>
    <row r="12" spans="2:12" x14ac:dyDescent="0.25">
      <c r="D12">
        <v>3</v>
      </c>
      <c r="E12" s="1" t="s">
        <v>88</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95</v>
      </c>
      <c r="D22" t="s">
        <v>27</v>
      </c>
      <c r="E22" s="1" t="s">
        <v>96</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96</v>
      </c>
    </row>
    <row r="33" spans="2:5" x14ac:dyDescent="0.25">
      <c r="B33" t="s">
        <v>20</v>
      </c>
      <c r="C33" s="1" t="s">
        <v>98</v>
      </c>
      <c r="D33" t="s">
        <v>27</v>
      </c>
      <c r="E33" s="1" t="s">
        <v>94</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100</v>
      </c>
      <c r="D44" t="s">
        <v>27</v>
      </c>
      <c r="E44" s="1" t="s">
        <v>93</v>
      </c>
    </row>
    <row r="45" spans="2:5" x14ac:dyDescent="0.25">
      <c r="B45" t="s">
        <v>21</v>
      </c>
      <c r="C45" s="1" t="s">
        <v>101</v>
      </c>
      <c r="D45" t="s">
        <v>27</v>
      </c>
      <c r="E45" s="1" t="s">
        <v>96</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Cashmere Road East</v>
      </c>
      <c r="C4" s="1" t="str">
        <f>Input!C31</f>
        <v>Penruddock Rise</v>
      </c>
      <c r="D4" s="1" t="str">
        <f>Input!C42</f>
        <v>Cashmere Road West</v>
      </c>
      <c r="E4" s="1">
        <f>Input!C53</f>
        <v>0</v>
      </c>
      <c r="F4" s="1">
        <f>Input!C64</f>
        <v>0</v>
      </c>
      <c r="G4" s="1">
        <f>Input!C75</f>
        <v>0</v>
      </c>
      <c r="H4" s="1">
        <f>Input!C86</f>
        <v>0</v>
      </c>
    </row>
    <row r="6" spans="2:8" x14ac:dyDescent="0.25">
      <c r="B6" t="s">
        <v>18</v>
      </c>
    </row>
    <row r="8" spans="2:8" x14ac:dyDescent="0.25">
      <c r="B8" s="1" t="str">
        <f>Input!C22</f>
        <v>Left into Penruddock Rise</v>
      </c>
      <c r="C8" s="1" t="str">
        <f>Input!C33</f>
        <v>Left into Cashmere Road West</v>
      </c>
      <c r="D8" s="1" t="str">
        <f>Input!C44</f>
        <v>Thru to Cashmere Road East</v>
      </c>
      <c r="E8" s="1">
        <f>Input!C55</f>
        <v>0</v>
      </c>
      <c r="F8" s="1">
        <f>Input!C66</f>
        <v>0</v>
      </c>
      <c r="G8" s="1">
        <f>Input!C77</f>
        <v>0</v>
      </c>
      <c r="H8" s="1">
        <f>Input!C88</f>
        <v>0</v>
      </c>
    </row>
    <row r="9" spans="2:8" x14ac:dyDescent="0.25">
      <c r="B9" s="1" t="str">
        <f>Input!C23</f>
        <v>Thru to Cashmere Road West</v>
      </c>
      <c r="C9" s="1" t="str">
        <f>Input!C34</f>
        <v>Right into Cashmere Road East</v>
      </c>
      <c r="D9" s="1" t="str">
        <f>Input!C45</f>
        <v>Right into Penruddock Rise</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Penruddock Rise</v>
      </c>
      <c r="C18" s="1" t="str">
        <f>Input!E33</f>
        <v>Cashmere Road West</v>
      </c>
      <c r="D18" s="1" t="str">
        <f>Input!E44</f>
        <v>Cashmere Road East</v>
      </c>
      <c r="E18" s="1">
        <f>Input!E55</f>
        <v>0</v>
      </c>
      <c r="F18" s="1">
        <f>Input!E66</f>
        <v>0</v>
      </c>
      <c r="G18" s="1">
        <f>Input!E77</f>
        <v>0</v>
      </c>
      <c r="H18" s="1">
        <f>Input!E88</f>
        <v>0</v>
      </c>
    </row>
    <row r="19" spans="2:8" x14ac:dyDescent="0.25">
      <c r="B19" s="1" t="str">
        <f>Input!E23</f>
        <v>Cashmere Road West</v>
      </c>
      <c r="C19" s="1" t="str">
        <f>Input!E34</f>
        <v>Cashmere Road East</v>
      </c>
      <c r="D19" s="1" t="str">
        <f>Input!E45</f>
        <v>Penruddock Rise</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96</v>
      </c>
      <c r="J5" s="16"/>
      <c r="K5" s="18"/>
      <c r="L5" s="26"/>
      <c r="M5" s="16"/>
      <c r="N5" s="18"/>
      <c r="O5" s="29" t="s">
        <v>94</v>
      </c>
      <c r="P5" s="16"/>
      <c r="Q5" s="18"/>
      <c r="R5" s="26"/>
      <c r="S5" s="16"/>
      <c r="T5" s="32"/>
    </row>
    <row r="6" spans="1:20" x14ac:dyDescent="0.25">
      <c r="C6" s="30" t="s">
        <v>95</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90</v>
      </c>
      <c r="E7" s="44" t="s">
        <v>88</v>
      </c>
      <c r="F7" s="45" t="s">
        <v>79</v>
      </c>
      <c r="G7" s="43" t="s">
        <v>90</v>
      </c>
      <c r="H7" s="44" t="s">
        <v>88</v>
      </c>
      <c r="I7" s="42" t="s">
        <v>79</v>
      </c>
      <c r="J7" s="43" t="s">
        <v>90</v>
      </c>
      <c r="K7" s="44" t="s">
        <v>88</v>
      </c>
      <c r="L7" s="45" t="s">
        <v>79</v>
      </c>
      <c r="M7" s="43" t="s">
        <v>90</v>
      </c>
      <c r="N7" s="44" t="s">
        <v>88</v>
      </c>
      <c r="O7" s="42" t="s">
        <v>79</v>
      </c>
      <c r="P7" s="43" t="s">
        <v>90</v>
      </c>
      <c r="Q7" s="44" t="s">
        <v>88</v>
      </c>
      <c r="R7" s="45" t="s">
        <v>79</v>
      </c>
      <c r="S7" s="43" t="s">
        <v>90</v>
      </c>
      <c r="T7" s="46" t="s">
        <v>88</v>
      </c>
    </row>
    <row r="8" spans="1:20" x14ac:dyDescent="0.25">
      <c r="A8" s="2" t="s">
        <v>43</v>
      </c>
      <c r="B8" s="7">
        <v>0.29166666666666669</v>
      </c>
      <c r="C8" s="31">
        <v>2</v>
      </c>
      <c r="D8">
        <v>2</v>
      </c>
      <c r="E8">
        <v>0</v>
      </c>
      <c r="F8" s="28">
        <v>29</v>
      </c>
      <c r="G8">
        <v>1</v>
      </c>
      <c r="H8">
        <v>3</v>
      </c>
      <c r="I8" s="31">
        <v>14</v>
      </c>
      <c r="J8">
        <v>1</v>
      </c>
      <c r="K8">
        <v>1</v>
      </c>
      <c r="L8" s="28">
        <v>39</v>
      </c>
      <c r="M8">
        <v>0</v>
      </c>
      <c r="N8">
        <v>1</v>
      </c>
      <c r="O8" s="31">
        <v>58</v>
      </c>
      <c r="P8">
        <v>3</v>
      </c>
      <c r="Q8">
        <v>4</v>
      </c>
      <c r="R8" s="28">
        <v>4</v>
      </c>
      <c r="S8">
        <v>1</v>
      </c>
      <c r="T8" s="34">
        <v>0</v>
      </c>
    </row>
    <row r="9" spans="1:20" x14ac:dyDescent="0.25">
      <c r="A9" s="2" t="s">
        <v>43</v>
      </c>
      <c r="B9" s="7">
        <v>0.30208333333333331</v>
      </c>
      <c r="C9" s="31">
        <v>11</v>
      </c>
      <c r="D9">
        <v>1</v>
      </c>
      <c r="E9">
        <v>1</v>
      </c>
      <c r="F9" s="28">
        <v>46</v>
      </c>
      <c r="G9">
        <v>0</v>
      </c>
      <c r="H9">
        <v>2</v>
      </c>
      <c r="I9" s="31">
        <v>16</v>
      </c>
      <c r="J9">
        <v>1</v>
      </c>
      <c r="K9">
        <v>0</v>
      </c>
      <c r="L9" s="28">
        <v>55</v>
      </c>
      <c r="M9">
        <v>1</v>
      </c>
      <c r="N9">
        <v>4</v>
      </c>
      <c r="O9" s="31">
        <v>64</v>
      </c>
      <c r="P9">
        <v>2</v>
      </c>
      <c r="Q9">
        <v>1</v>
      </c>
      <c r="R9" s="28">
        <v>9</v>
      </c>
      <c r="S9">
        <v>0</v>
      </c>
      <c r="T9" s="34">
        <v>3</v>
      </c>
    </row>
    <row r="10" spans="1:20" x14ac:dyDescent="0.25">
      <c r="A10" s="2" t="s">
        <v>43</v>
      </c>
      <c r="B10" s="7">
        <v>0.3125</v>
      </c>
      <c r="C10" s="31">
        <v>10</v>
      </c>
      <c r="D10">
        <v>0</v>
      </c>
      <c r="E10">
        <v>0</v>
      </c>
      <c r="F10" s="28">
        <v>64</v>
      </c>
      <c r="G10">
        <v>2</v>
      </c>
      <c r="H10">
        <v>1</v>
      </c>
      <c r="I10" s="31">
        <v>21</v>
      </c>
      <c r="J10">
        <v>0</v>
      </c>
      <c r="K10">
        <v>1</v>
      </c>
      <c r="L10" s="28">
        <v>64</v>
      </c>
      <c r="M10">
        <v>1</v>
      </c>
      <c r="N10">
        <v>6</v>
      </c>
      <c r="O10" s="31">
        <v>107</v>
      </c>
      <c r="P10">
        <v>1</v>
      </c>
      <c r="Q10">
        <v>6</v>
      </c>
      <c r="R10" s="28">
        <v>8</v>
      </c>
      <c r="S10">
        <v>2</v>
      </c>
      <c r="T10" s="34">
        <v>0</v>
      </c>
    </row>
    <row r="11" spans="1:20" x14ac:dyDescent="0.25">
      <c r="A11" s="2" t="s">
        <v>43</v>
      </c>
      <c r="B11" s="7">
        <v>0.32291666666666669</v>
      </c>
      <c r="C11" s="31">
        <v>9</v>
      </c>
      <c r="D11">
        <v>1</v>
      </c>
      <c r="E11">
        <v>0</v>
      </c>
      <c r="F11" s="28">
        <v>64</v>
      </c>
      <c r="G11">
        <v>1</v>
      </c>
      <c r="H11">
        <v>1</v>
      </c>
      <c r="I11" s="31">
        <v>19</v>
      </c>
      <c r="J11">
        <v>0</v>
      </c>
      <c r="K11">
        <v>1</v>
      </c>
      <c r="L11" s="28">
        <v>65</v>
      </c>
      <c r="M11">
        <v>0</v>
      </c>
      <c r="N11">
        <v>6</v>
      </c>
      <c r="O11" s="31">
        <v>110</v>
      </c>
      <c r="P11">
        <v>4</v>
      </c>
      <c r="Q11">
        <v>2</v>
      </c>
      <c r="R11" s="28">
        <v>5</v>
      </c>
      <c r="S11">
        <v>1</v>
      </c>
      <c r="T11" s="34">
        <v>0</v>
      </c>
    </row>
    <row r="12" spans="1:20" x14ac:dyDescent="0.25">
      <c r="A12" s="2" t="s">
        <v>43</v>
      </c>
      <c r="B12" s="7">
        <v>0.33333333333333331</v>
      </c>
      <c r="C12" s="31">
        <v>19</v>
      </c>
      <c r="D12">
        <v>0</v>
      </c>
      <c r="E12">
        <v>1</v>
      </c>
      <c r="F12" s="28">
        <v>70</v>
      </c>
      <c r="G12">
        <v>1</v>
      </c>
      <c r="H12">
        <v>2</v>
      </c>
      <c r="I12" s="31">
        <v>15</v>
      </c>
      <c r="J12">
        <v>0</v>
      </c>
      <c r="K12">
        <v>1</v>
      </c>
      <c r="L12" s="28">
        <v>62</v>
      </c>
      <c r="M12">
        <v>2</v>
      </c>
      <c r="N12">
        <v>9</v>
      </c>
      <c r="O12" s="31">
        <v>126</v>
      </c>
      <c r="P12">
        <v>2</v>
      </c>
      <c r="Q12">
        <v>8</v>
      </c>
      <c r="R12" s="28">
        <v>6</v>
      </c>
      <c r="S12">
        <v>1</v>
      </c>
      <c r="T12" s="34">
        <v>0</v>
      </c>
    </row>
    <row r="13" spans="1:20" x14ac:dyDescent="0.25">
      <c r="A13" s="2" t="s">
        <v>43</v>
      </c>
      <c r="B13" s="7">
        <v>0.34375</v>
      </c>
      <c r="C13" s="31">
        <v>13</v>
      </c>
      <c r="D13">
        <v>3</v>
      </c>
      <c r="E13">
        <v>0</v>
      </c>
      <c r="F13" s="28">
        <v>87</v>
      </c>
      <c r="G13">
        <v>1</v>
      </c>
      <c r="H13">
        <v>2</v>
      </c>
      <c r="I13" s="31">
        <v>36</v>
      </c>
      <c r="J13">
        <v>1</v>
      </c>
      <c r="K13">
        <v>0</v>
      </c>
      <c r="L13" s="28">
        <v>87</v>
      </c>
      <c r="M13">
        <v>1</v>
      </c>
      <c r="N13">
        <v>10</v>
      </c>
      <c r="O13" s="31">
        <v>135</v>
      </c>
      <c r="P13">
        <v>2</v>
      </c>
      <c r="Q13">
        <v>3</v>
      </c>
      <c r="R13" s="28">
        <v>8</v>
      </c>
      <c r="S13">
        <v>0</v>
      </c>
      <c r="T13" s="34">
        <v>0</v>
      </c>
    </row>
    <row r="14" spans="1:20" x14ac:dyDescent="0.25">
      <c r="A14" s="2" t="s">
        <v>43</v>
      </c>
      <c r="B14" s="7">
        <v>0.35416666666666669</v>
      </c>
      <c r="C14" s="31">
        <v>22</v>
      </c>
      <c r="D14">
        <v>0</v>
      </c>
      <c r="E14">
        <v>0</v>
      </c>
      <c r="F14" s="28">
        <v>73</v>
      </c>
      <c r="G14">
        <v>1</v>
      </c>
      <c r="H14">
        <v>15</v>
      </c>
      <c r="I14" s="31">
        <v>18</v>
      </c>
      <c r="J14">
        <v>1</v>
      </c>
      <c r="K14">
        <v>1</v>
      </c>
      <c r="L14" s="28">
        <v>68</v>
      </c>
      <c r="M14">
        <v>1</v>
      </c>
      <c r="N14">
        <v>7</v>
      </c>
      <c r="O14" s="31">
        <v>135</v>
      </c>
      <c r="P14">
        <v>3</v>
      </c>
      <c r="Q14">
        <v>9</v>
      </c>
      <c r="R14" s="28">
        <v>4</v>
      </c>
      <c r="S14">
        <v>0</v>
      </c>
      <c r="T14" s="34">
        <v>0</v>
      </c>
    </row>
    <row r="15" spans="1:20" ht="15.75" thickBot="1" x14ac:dyDescent="0.3">
      <c r="A15" s="2" t="s">
        <v>43</v>
      </c>
      <c r="B15" s="7">
        <v>0.36458333333333331</v>
      </c>
      <c r="C15" s="31">
        <v>22</v>
      </c>
      <c r="D15">
        <v>2</v>
      </c>
      <c r="E15">
        <v>2</v>
      </c>
      <c r="F15" s="28">
        <v>76</v>
      </c>
      <c r="G15">
        <v>3</v>
      </c>
      <c r="H15">
        <v>3</v>
      </c>
      <c r="I15" s="31">
        <v>11</v>
      </c>
      <c r="J15">
        <v>0</v>
      </c>
      <c r="K15">
        <v>0</v>
      </c>
      <c r="L15" s="28">
        <v>51</v>
      </c>
      <c r="M15">
        <v>1</v>
      </c>
      <c r="N15">
        <v>1</v>
      </c>
      <c r="O15" s="31">
        <v>104</v>
      </c>
      <c r="P15">
        <v>5</v>
      </c>
      <c r="Q15">
        <v>6</v>
      </c>
      <c r="R15" s="28">
        <v>9</v>
      </c>
      <c r="S15">
        <v>3</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19</v>
      </c>
      <c r="D17">
        <v>2</v>
      </c>
      <c r="E17">
        <v>1</v>
      </c>
      <c r="F17" s="28">
        <v>34</v>
      </c>
      <c r="G17">
        <v>3</v>
      </c>
      <c r="H17">
        <v>3</v>
      </c>
      <c r="I17" s="31">
        <v>7</v>
      </c>
      <c r="J17">
        <v>1</v>
      </c>
      <c r="K17">
        <v>0</v>
      </c>
      <c r="L17" s="28">
        <v>15</v>
      </c>
      <c r="M17">
        <v>0</v>
      </c>
      <c r="N17">
        <v>0</v>
      </c>
      <c r="O17" s="31">
        <v>41</v>
      </c>
      <c r="P17">
        <v>3</v>
      </c>
      <c r="Q17">
        <v>2</v>
      </c>
      <c r="R17" s="28">
        <v>11</v>
      </c>
      <c r="S17">
        <v>1</v>
      </c>
      <c r="T17" s="34">
        <v>0</v>
      </c>
    </row>
    <row r="18" spans="1:20" x14ac:dyDescent="0.25">
      <c r="A18" s="2" t="s">
        <v>91</v>
      </c>
      <c r="B18" s="7">
        <v>0.55208333333333337</v>
      </c>
      <c r="C18" s="31">
        <v>24</v>
      </c>
      <c r="D18">
        <v>0</v>
      </c>
      <c r="E18">
        <v>0</v>
      </c>
      <c r="F18" s="28">
        <v>35</v>
      </c>
      <c r="G18">
        <v>2</v>
      </c>
      <c r="H18">
        <v>2</v>
      </c>
      <c r="I18" s="31">
        <v>9</v>
      </c>
      <c r="J18">
        <v>0</v>
      </c>
      <c r="K18">
        <v>0</v>
      </c>
      <c r="L18" s="28">
        <v>19</v>
      </c>
      <c r="M18">
        <v>1</v>
      </c>
      <c r="N18">
        <v>0</v>
      </c>
      <c r="O18" s="31">
        <v>37</v>
      </c>
      <c r="P18">
        <v>0</v>
      </c>
      <c r="Q18">
        <v>2</v>
      </c>
      <c r="R18" s="28">
        <v>13</v>
      </c>
      <c r="S18">
        <v>0</v>
      </c>
      <c r="T18" s="34">
        <v>0</v>
      </c>
    </row>
    <row r="19" spans="1:20" x14ac:dyDescent="0.25">
      <c r="A19" s="2" t="s">
        <v>91</v>
      </c>
      <c r="B19" s="7">
        <v>0.5625</v>
      </c>
      <c r="C19" s="31">
        <v>22</v>
      </c>
      <c r="D19">
        <v>1</v>
      </c>
      <c r="E19">
        <v>1</v>
      </c>
      <c r="F19" s="28">
        <v>44</v>
      </c>
      <c r="G19">
        <v>2</v>
      </c>
      <c r="H19">
        <v>1</v>
      </c>
      <c r="I19" s="31">
        <v>8</v>
      </c>
      <c r="J19">
        <v>0</v>
      </c>
      <c r="K19">
        <v>0</v>
      </c>
      <c r="L19" s="28">
        <v>14</v>
      </c>
      <c r="M19">
        <v>0</v>
      </c>
      <c r="N19">
        <v>0</v>
      </c>
      <c r="O19" s="31">
        <v>43</v>
      </c>
      <c r="P19">
        <v>1</v>
      </c>
      <c r="Q19">
        <v>2</v>
      </c>
      <c r="R19" s="28">
        <v>9</v>
      </c>
      <c r="S19">
        <v>0</v>
      </c>
      <c r="T19" s="34">
        <v>0</v>
      </c>
    </row>
    <row r="20" spans="1:20" ht="15.75" thickBot="1" x14ac:dyDescent="0.3">
      <c r="A20" s="2" t="s">
        <v>91</v>
      </c>
      <c r="B20" s="7">
        <v>0.57291666666666663</v>
      </c>
      <c r="C20" s="31">
        <v>20</v>
      </c>
      <c r="D20">
        <v>0</v>
      </c>
      <c r="E20">
        <v>1</v>
      </c>
      <c r="F20" s="28">
        <v>40</v>
      </c>
      <c r="G20">
        <v>3</v>
      </c>
      <c r="H20">
        <v>1</v>
      </c>
      <c r="I20" s="31">
        <v>10</v>
      </c>
      <c r="J20">
        <v>0</v>
      </c>
      <c r="K20">
        <v>1</v>
      </c>
      <c r="L20" s="28">
        <v>22</v>
      </c>
      <c r="M20">
        <v>2</v>
      </c>
      <c r="N20">
        <v>1</v>
      </c>
      <c r="O20" s="31">
        <v>38</v>
      </c>
      <c r="P20">
        <v>1</v>
      </c>
      <c r="Q20">
        <v>2</v>
      </c>
      <c r="R20" s="28">
        <v>7</v>
      </c>
      <c r="S20">
        <v>0</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33</v>
      </c>
      <c r="D22">
        <v>0</v>
      </c>
      <c r="E22">
        <v>1</v>
      </c>
      <c r="F22" s="28">
        <v>84</v>
      </c>
      <c r="G22">
        <v>2</v>
      </c>
      <c r="H22">
        <v>1</v>
      </c>
      <c r="I22" s="31">
        <v>6</v>
      </c>
      <c r="J22">
        <v>0</v>
      </c>
      <c r="K22">
        <v>1</v>
      </c>
      <c r="L22" s="28">
        <v>25</v>
      </c>
      <c r="M22">
        <v>1</v>
      </c>
      <c r="N22">
        <v>0</v>
      </c>
      <c r="O22" s="31">
        <v>69</v>
      </c>
      <c r="P22">
        <v>3</v>
      </c>
      <c r="Q22">
        <v>3</v>
      </c>
      <c r="R22" s="28">
        <v>21</v>
      </c>
      <c r="S22">
        <v>0</v>
      </c>
      <c r="T22" s="34">
        <v>2</v>
      </c>
    </row>
    <row r="23" spans="1:20" x14ac:dyDescent="0.25">
      <c r="A23" s="2" t="s">
        <v>44</v>
      </c>
      <c r="B23" s="7">
        <v>0.67708333333333337</v>
      </c>
      <c r="C23" s="31">
        <v>36</v>
      </c>
      <c r="D23">
        <v>1</v>
      </c>
      <c r="E23">
        <v>1</v>
      </c>
      <c r="F23" s="28">
        <v>94</v>
      </c>
      <c r="G23">
        <v>2</v>
      </c>
      <c r="H23">
        <v>2</v>
      </c>
      <c r="I23" s="31">
        <v>23</v>
      </c>
      <c r="J23">
        <v>0</v>
      </c>
      <c r="K23">
        <v>0</v>
      </c>
      <c r="L23" s="28">
        <v>27</v>
      </c>
      <c r="M23">
        <v>0</v>
      </c>
      <c r="N23">
        <v>0</v>
      </c>
      <c r="O23" s="31">
        <v>96</v>
      </c>
      <c r="P23">
        <v>2</v>
      </c>
      <c r="Q23">
        <v>4</v>
      </c>
      <c r="R23" s="28">
        <v>18</v>
      </c>
      <c r="S23">
        <v>0</v>
      </c>
      <c r="T23" s="34">
        <v>0</v>
      </c>
    </row>
    <row r="24" spans="1:20" x14ac:dyDescent="0.25">
      <c r="A24" s="2" t="s">
        <v>44</v>
      </c>
      <c r="B24" s="7">
        <v>0.6875</v>
      </c>
      <c r="C24" s="31">
        <v>38</v>
      </c>
      <c r="D24">
        <v>0</v>
      </c>
      <c r="E24">
        <v>3</v>
      </c>
      <c r="F24" s="28">
        <v>89</v>
      </c>
      <c r="G24">
        <v>0</v>
      </c>
      <c r="H24">
        <v>4</v>
      </c>
      <c r="I24" s="31">
        <v>12</v>
      </c>
      <c r="J24">
        <v>0</v>
      </c>
      <c r="K24">
        <v>0</v>
      </c>
      <c r="L24" s="28">
        <v>37</v>
      </c>
      <c r="M24">
        <v>2</v>
      </c>
      <c r="N24">
        <v>0</v>
      </c>
      <c r="O24" s="31">
        <v>98</v>
      </c>
      <c r="P24">
        <v>2</v>
      </c>
      <c r="Q24">
        <v>1</v>
      </c>
      <c r="R24" s="28">
        <v>15</v>
      </c>
      <c r="S24">
        <v>1</v>
      </c>
      <c r="T24" s="34">
        <v>0</v>
      </c>
    </row>
    <row r="25" spans="1:20" x14ac:dyDescent="0.25">
      <c r="A25" s="2" t="s">
        <v>44</v>
      </c>
      <c r="B25" s="7">
        <v>0.69791666666666663</v>
      </c>
      <c r="C25" s="31">
        <v>59</v>
      </c>
      <c r="D25">
        <v>2</v>
      </c>
      <c r="E25">
        <v>1</v>
      </c>
      <c r="F25" s="28">
        <v>105</v>
      </c>
      <c r="G25">
        <v>2</v>
      </c>
      <c r="H25">
        <v>5</v>
      </c>
      <c r="I25" s="31">
        <v>13</v>
      </c>
      <c r="J25">
        <v>2</v>
      </c>
      <c r="K25">
        <v>1</v>
      </c>
      <c r="L25" s="28">
        <v>20</v>
      </c>
      <c r="M25">
        <v>0</v>
      </c>
      <c r="N25">
        <v>0</v>
      </c>
      <c r="O25" s="31">
        <v>104</v>
      </c>
      <c r="P25">
        <v>0</v>
      </c>
      <c r="Q25">
        <v>8</v>
      </c>
      <c r="R25" s="28">
        <v>31</v>
      </c>
      <c r="S25">
        <v>0</v>
      </c>
      <c r="T25" s="34">
        <v>0</v>
      </c>
    </row>
    <row r="26" spans="1:20" x14ac:dyDescent="0.25">
      <c r="A26" s="2" t="s">
        <v>44</v>
      </c>
      <c r="B26" s="7">
        <v>0.70833333333333337</v>
      </c>
      <c r="C26" s="31">
        <v>47</v>
      </c>
      <c r="D26">
        <v>1</v>
      </c>
      <c r="E26">
        <v>5</v>
      </c>
      <c r="F26" s="28">
        <v>103</v>
      </c>
      <c r="G26">
        <v>0</v>
      </c>
      <c r="H26">
        <v>5</v>
      </c>
      <c r="I26" s="31">
        <v>16</v>
      </c>
      <c r="J26">
        <v>0</v>
      </c>
      <c r="K26">
        <v>0</v>
      </c>
      <c r="L26" s="28">
        <v>33</v>
      </c>
      <c r="M26">
        <v>1</v>
      </c>
      <c r="N26">
        <v>2</v>
      </c>
      <c r="O26" s="31">
        <v>95</v>
      </c>
      <c r="P26">
        <v>2</v>
      </c>
      <c r="Q26">
        <v>3</v>
      </c>
      <c r="R26" s="28">
        <v>26</v>
      </c>
      <c r="S26">
        <v>0</v>
      </c>
      <c r="T26" s="34">
        <v>0</v>
      </c>
    </row>
    <row r="27" spans="1:20" x14ac:dyDescent="0.25">
      <c r="A27" s="2" t="s">
        <v>44</v>
      </c>
      <c r="B27" s="7">
        <v>0.71875</v>
      </c>
      <c r="C27" s="31">
        <v>53</v>
      </c>
      <c r="D27">
        <v>0</v>
      </c>
      <c r="E27">
        <v>4</v>
      </c>
      <c r="F27" s="28">
        <v>103</v>
      </c>
      <c r="G27">
        <v>0</v>
      </c>
      <c r="H27">
        <v>5</v>
      </c>
      <c r="I27" s="31">
        <v>10</v>
      </c>
      <c r="J27">
        <v>2</v>
      </c>
      <c r="K27">
        <v>0</v>
      </c>
      <c r="L27" s="28">
        <v>30</v>
      </c>
      <c r="M27">
        <v>1</v>
      </c>
      <c r="N27">
        <v>0</v>
      </c>
      <c r="O27" s="31">
        <v>107</v>
      </c>
      <c r="P27">
        <v>6</v>
      </c>
      <c r="Q27">
        <v>4</v>
      </c>
      <c r="R27" s="28">
        <v>18</v>
      </c>
      <c r="S27">
        <v>0</v>
      </c>
      <c r="T27" s="34">
        <v>1</v>
      </c>
    </row>
    <row r="28" spans="1:20" x14ac:dyDescent="0.25">
      <c r="A28" s="2" t="s">
        <v>44</v>
      </c>
      <c r="B28" s="7">
        <v>0.72916666666666663</v>
      </c>
      <c r="C28" s="31">
        <v>42</v>
      </c>
      <c r="D28">
        <v>1</v>
      </c>
      <c r="E28">
        <v>4</v>
      </c>
      <c r="F28" s="28">
        <v>92</v>
      </c>
      <c r="G28">
        <v>0</v>
      </c>
      <c r="H28">
        <v>10</v>
      </c>
      <c r="I28" s="31">
        <v>9</v>
      </c>
      <c r="J28">
        <v>1</v>
      </c>
      <c r="K28">
        <v>0</v>
      </c>
      <c r="L28" s="28">
        <v>22</v>
      </c>
      <c r="M28">
        <v>1</v>
      </c>
      <c r="N28">
        <v>0</v>
      </c>
      <c r="O28" s="31">
        <v>108</v>
      </c>
      <c r="P28">
        <v>0</v>
      </c>
      <c r="Q28">
        <v>9</v>
      </c>
      <c r="R28" s="28">
        <v>33</v>
      </c>
      <c r="S28">
        <v>1</v>
      </c>
      <c r="T28" s="34">
        <v>1</v>
      </c>
    </row>
    <row r="29" spans="1:20" ht="15.75" thickBot="1" x14ac:dyDescent="0.3">
      <c r="A29" s="21" t="s">
        <v>44</v>
      </c>
      <c r="B29" s="48">
        <v>0.73958333333333337</v>
      </c>
      <c r="C29" s="39">
        <v>51</v>
      </c>
      <c r="D29" s="38">
        <v>1</v>
      </c>
      <c r="E29" s="38">
        <v>5</v>
      </c>
      <c r="F29" s="40">
        <v>82</v>
      </c>
      <c r="G29" s="38">
        <v>0</v>
      </c>
      <c r="H29" s="38">
        <v>5</v>
      </c>
      <c r="I29" s="39">
        <v>11</v>
      </c>
      <c r="J29" s="38">
        <v>0</v>
      </c>
      <c r="K29" s="38">
        <v>1</v>
      </c>
      <c r="L29" s="40">
        <v>20</v>
      </c>
      <c r="M29" s="38">
        <v>1</v>
      </c>
      <c r="N29" s="38">
        <v>0</v>
      </c>
      <c r="O29" s="39">
        <v>68</v>
      </c>
      <c r="P29" s="38">
        <v>0</v>
      </c>
      <c r="Q29" s="38">
        <v>6</v>
      </c>
      <c r="R29" s="40">
        <v>15</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95</v>
      </c>
      <c r="C2" t="s">
        <v>96</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93</v>
      </c>
      <c r="B3" t="s">
        <v>95</v>
      </c>
      <c r="C3" t="s">
        <v>96</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93</v>
      </c>
      <c r="B4" t="s">
        <v>95</v>
      </c>
      <c r="C4" t="s">
        <v>96</v>
      </c>
      <c r="D4" t="s">
        <v>79</v>
      </c>
      <c r="E4" t="s">
        <v>43</v>
      </c>
      <c r="F4" s="6">
        <v>0.3125</v>
      </c>
      <c r="G4">
        <v>10</v>
      </c>
      <c r="H4" s="6">
        <f>FLOOR(tblPivotData[[#This Row],[Time]],Summary!$B$6/1440)</f>
        <v>0.3125</v>
      </c>
      <c r="I4" s="49">
        <f>INDEX(PeakCalc!$L$10:$L$303,MATCH(tblPivotData[[#This Row],[Time]],PeakCalc!$G$10:$G$303,0))</f>
        <v>0</v>
      </c>
    </row>
    <row r="5" spans="1:9" x14ac:dyDescent="0.25">
      <c r="A5" t="s">
        <v>93</v>
      </c>
      <c r="B5" t="s">
        <v>95</v>
      </c>
      <c r="C5" t="s">
        <v>96</v>
      </c>
      <c r="D5" t="s">
        <v>79</v>
      </c>
      <c r="E5" t="s">
        <v>43</v>
      </c>
      <c r="F5" s="6">
        <v>0.32291666666666669</v>
      </c>
      <c r="G5">
        <v>9</v>
      </c>
      <c r="H5" s="6">
        <f>FLOOR(tblPivotData[[#This Row],[Time]],Summary!$B$6/1440)</f>
        <v>0.32291666666666663</v>
      </c>
      <c r="I5" s="49">
        <f>INDEX(PeakCalc!$L$10:$L$303,MATCH(tblPivotData[[#This Row],[Time]],PeakCalc!$G$10:$G$303,0))</f>
        <v>0</v>
      </c>
    </row>
    <row r="6" spans="1:9" x14ac:dyDescent="0.25">
      <c r="A6" t="s">
        <v>93</v>
      </c>
      <c r="B6" t="s">
        <v>95</v>
      </c>
      <c r="C6" t="s">
        <v>96</v>
      </c>
      <c r="D6" t="s">
        <v>79</v>
      </c>
      <c r="E6" t="s">
        <v>43</v>
      </c>
      <c r="F6" s="6">
        <v>0.33333333333333331</v>
      </c>
      <c r="G6">
        <v>19</v>
      </c>
      <c r="H6" s="6">
        <f>FLOOR(tblPivotData[[#This Row],[Time]],Summary!$B$6/1440)</f>
        <v>0.33333333333333331</v>
      </c>
      <c r="I6" s="49">
        <f>INDEX(PeakCalc!$L$10:$L$303,MATCH(tblPivotData[[#This Row],[Time]],PeakCalc!$G$10:$G$303,0))</f>
        <v>1</v>
      </c>
    </row>
    <row r="7" spans="1:9" x14ac:dyDescent="0.25">
      <c r="A7" t="s">
        <v>93</v>
      </c>
      <c r="B7" t="s">
        <v>95</v>
      </c>
      <c r="C7" t="s">
        <v>96</v>
      </c>
      <c r="D7" t="s">
        <v>79</v>
      </c>
      <c r="E7" t="s">
        <v>43</v>
      </c>
      <c r="F7" s="6">
        <v>0.34375</v>
      </c>
      <c r="G7">
        <v>13</v>
      </c>
      <c r="H7" s="6">
        <f>FLOOR(tblPivotData[[#This Row],[Time]],Summary!$B$6/1440)</f>
        <v>0.34375</v>
      </c>
      <c r="I7" s="49">
        <f>INDEX(PeakCalc!$L$10:$L$303,MATCH(tblPivotData[[#This Row],[Time]],PeakCalc!$G$10:$G$303,0))</f>
        <v>1</v>
      </c>
    </row>
    <row r="8" spans="1:9" x14ac:dyDescent="0.25">
      <c r="A8" t="s">
        <v>93</v>
      </c>
      <c r="B8" t="s">
        <v>95</v>
      </c>
      <c r="C8" t="s">
        <v>96</v>
      </c>
      <c r="D8" t="s">
        <v>79</v>
      </c>
      <c r="E8" t="s">
        <v>43</v>
      </c>
      <c r="F8" s="6">
        <v>0.35416666666666669</v>
      </c>
      <c r="G8">
        <v>22</v>
      </c>
      <c r="H8" s="6">
        <f>FLOOR(tblPivotData[[#This Row],[Time]],Summary!$B$6/1440)</f>
        <v>0.35416666666666663</v>
      </c>
      <c r="I8" s="49">
        <f>INDEX(PeakCalc!$L$10:$L$303,MATCH(tblPivotData[[#This Row],[Time]],PeakCalc!$G$10:$G$303,0))</f>
        <v>1</v>
      </c>
    </row>
    <row r="9" spans="1:9" x14ac:dyDescent="0.25">
      <c r="A9" t="s">
        <v>93</v>
      </c>
      <c r="B9" t="s">
        <v>95</v>
      </c>
      <c r="C9" t="s">
        <v>96</v>
      </c>
      <c r="D9" t="s">
        <v>79</v>
      </c>
      <c r="E9" t="s">
        <v>43</v>
      </c>
      <c r="F9" s="6">
        <v>0.36458333333333331</v>
      </c>
      <c r="G9">
        <v>22</v>
      </c>
      <c r="H9" s="6">
        <f>FLOOR(tblPivotData[[#This Row],[Time]],Summary!$B$6/1440)</f>
        <v>0.36458333333333331</v>
      </c>
      <c r="I9" s="49">
        <f>INDEX(PeakCalc!$L$10:$L$303,MATCH(tblPivotData[[#This Row],[Time]],PeakCalc!$G$10:$G$303,0))</f>
        <v>1</v>
      </c>
    </row>
    <row r="10" spans="1:9" x14ac:dyDescent="0.25">
      <c r="A10" t="s">
        <v>93</v>
      </c>
      <c r="B10" t="s">
        <v>95</v>
      </c>
      <c r="C10" t="s">
        <v>96</v>
      </c>
      <c r="D10" t="s">
        <v>79</v>
      </c>
      <c r="E10" t="s">
        <v>91</v>
      </c>
      <c r="F10" s="6">
        <v>0.54166666666666663</v>
      </c>
      <c r="G10">
        <v>19</v>
      </c>
      <c r="H10" s="6">
        <f>FLOOR(tblPivotData[[#This Row],[Time]],Summary!$B$6/1440)</f>
        <v>0.54166666666666663</v>
      </c>
      <c r="I10" s="49">
        <f>INDEX(PeakCalc!$L$10:$L$303,MATCH(tblPivotData[[#This Row],[Time]],PeakCalc!$G$10:$G$303,0))</f>
        <v>1</v>
      </c>
    </row>
    <row r="11" spans="1:9" x14ac:dyDescent="0.25">
      <c r="A11" t="s">
        <v>93</v>
      </c>
      <c r="B11" t="s">
        <v>95</v>
      </c>
      <c r="C11" t="s">
        <v>96</v>
      </c>
      <c r="D11" t="s">
        <v>79</v>
      </c>
      <c r="E11" t="s">
        <v>91</v>
      </c>
      <c r="F11" s="6">
        <v>0.55208333333333337</v>
      </c>
      <c r="G11">
        <v>24</v>
      </c>
      <c r="H11" s="6">
        <f>FLOOR(tblPivotData[[#This Row],[Time]],Summary!$B$6/1440)</f>
        <v>0.55208333333333326</v>
      </c>
      <c r="I11" s="49">
        <f>INDEX(PeakCalc!$L$10:$L$303,MATCH(tblPivotData[[#This Row],[Time]],PeakCalc!$G$10:$G$303,0))</f>
        <v>1</v>
      </c>
    </row>
    <row r="12" spans="1:9" x14ac:dyDescent="0.25">
      <c r="A12" t="s">
        <v>93</v>
      </c>
      <c r="B12" t="s">
        <v>95</v>
      </c>
      <c r="C12" t="s">
        <v>96</v>
      </c>
      <c r="D12" t="s">
        <v>79</v>
      </c>
      <c r="E12" t="s">
        <v>91</v>
      </c>
      <c r="F12" s="6">
        <v>0.5625</v>
      </c>
      <c r="G12">
        <v>22</v>
      </c>
      <c r="H12" s="6">
        <f>FLOOR(tblPivotData[[#This Row],[Time]],Summary!$B$6/1440)</f>
        <v>0.5625</v>
      </c>
      <c r="I12" s="49">
        <f>INDEX(PeakCalc!$L$10:$L$303,MATCH(tblPivotData[[#This Row],[Time]],PeakCalc!$G$10:$G$303,0))</f>
        <v>1</v>
      </c>
    </row>
    <row r="13" spans="1:9" x14ac:dyDescent="0.25">
      <c r="A13" t="s">
        <v>93</v>
      </c>
      <c r="B13" t="s">
        <v>95</v>
      </c>
      <c r="C13" t="s">
        <v>96</v>
      </c>
      <c r="D13" t="s">
        <v>79</v>
      </c>
      <c r="E13" t="s">
        <v>91</v>
      </c>
      <c r="F13" s="6">
        <v>0.57291666666666663</v>
      </c>
      <c r="G13">
        <v>20</v>
      </c>
      <c r="H13" s="6">
        <f>FLOOR(tblPivotData[[#This Row],[Time]],Summary!$B$6/1440)</f>
        <v>0.57291666666666663</v>
      </c>
      <c r="I13" s="49">
        <f>INDEX(PeakCalc!$L$10:$L$303,MATCH(tblPivotData[[#This Row],[Time]],PeakCalc!$G$10:$G$303,0))</f>
        <v>1</v>
      </c>
    </row>
    <row r="14" spans="1:9" x14ac:dyDescent="0.25">
      <c r="A14" t="s">
        <v>93</v>
      </c>
      <c r="B14" t="s">
        <v>95</v>
      </c>
      <c r="C14" t="s">
        <v>96</v>
      </c>
      <c r="D14" t="s">
        <v>79</v>
      </c>
      <c r="E14" t="s">
        <v>44</v>
      </c>
      <c r="F14" s="6">
        <v>0.66666666666666663</v>
      </c>
      <c r="G14">
        <v>33</v>
      </c>
      <c r="H14" s="6">
        <f>FLOOR(tblPivotData[[#This Row],[Time]],Summary!$B$6/1440)</f>
        <v>0.66666666666666663</v>
      </c>
      <c r="I14" s="49">
        <f>INDEX(PeakCalc!$L$10:$L$303,MATCH(tblPivotData[[#This Row],[Time]],PeakCalc!$G$10:$G$303,0))</f>
        <v>0</v>
      </c>
    </row>
    <row r="15" spans="1:9" x14ac:dyDescent="0.25">
      <c r="A15" t="s">
        <v>93</v>
      </c>
      <c r="B15" t="s">
        <v>95</v>
      </c>
      <c r="C15" t="s">
        <v>96</v>
      </c>
      <c r="D15" t="s">
        <v>79</v>
      </c>
      <c r="E15" t="s">
        <v>44</v>
      </c>
      <c r="F15" s="6">
        <v>0.67708333333333337</v>
      </c>
      <c r="G15">
        <v>36</v>
      </c>
      <c r="H15" s="6">
        <f>FLOOR(tblPivotData[[#This Row],[Time]],Summary!$B$6/1440)</f>
        <v>0.67708333333333326</v>
      </c>
      <c r="I15" s="49">
        <f>INDEX(PeakCalc!$L$10:$L$303,MATCH(tblPivotData[[#This Row],[Time]],PeakCalc!$G$10:$G$303,0))</f>
        <v>0</v>
      </c>
    </row>
    <row r="16" spans="1:9" x14ac:dyDescent="0.25">
      <c r="A16" t="s">
        <v>93</v>
      </c>
      <c r="B16" t="s">
        <v>95</v>
      </c>
      <c r="C16" t="s">
        <v>96</v>
      </c>
      <c r="D16" t="s">
        <v>79</v>
      </c>
      <c r="E16" t="s">
        <v>44</v>
      </c>
      <c r="F16" s="6">
        <v>0.6875</v>
      </c>
      <c r="G16">
        <v>38</v>
      </c>
      <c r="H16" s="6">
        <f>FLOOR(tblPivotData[[#This Row],[Time]],Summary!$B$6/1440)</f>
        <v>0.6875</v>
      </c>
      <c r="I16" s="49">
        <f>INDEX(PeakCalc!$L$10:$L$303,MATCH(tblPivotData[[#This Row],[Time]],PeakCalc!$G$10:$G$303,0))</f>
        <v>0</v>
      </c>
    </row>
    <row r="17" spans="1:9" x14ac:dyDescent="0.25">
      <c r="A17" t="s">
        <v>93</v>
      </c>
      <c r="B17" t="s">
        <v>95</v>
      </c>
      <c r="C17" t="s">
        <v>96</v>
      </c>
      <c r="D17" t="s">
        <v>79</v>
      </c>
      <c r="E17" t="s">
        <v>44</v>
      </c>
      <c r="F17" s="6">
        <v>0.69791666666666663</v>
      </c>
      <c r="G17">
        <v>59</v>
      </c>
      <c r="H17" s="6">
        <f>FLOOR(tblPivotData[[#This Row],[Time]],Summary!$B$6/1440)</f>
        <v>0.69791666666666663</v>
      </c>
      <c r="I17" s="49">
        <f>INDEX(PeakCalc!$L$10:$L$303,MATCH(tblPivotData[[#This Row],[Time]],PeakCalc!$G$10:$G$303,0))</f>
        <v>1</v>
      </c>
    </row>
    <row r="18" spans="1:9" x14ac:dyDescent="0.25">
      <c r="A18" t="s">
        <v>93</v>
      </c>
      <c r="B18" t="s">
        <v>95</v>
      </c>
      <c r="C18" t="s">
        <v>96</v>
      </c>
      <c r="D18" t="s">
        <v>79</v>
      </c>
      <c r="E18" t="s">
        <v>44</v>
      </c>
      <c r="F18" s="6">
        <v>0.70833333333333337</v>
      </c>
      <c r="G18">
        <v>47</v>
      </c>
      <c r="H18" s="6">
        <f>FLOOR(tblPivotData[[#This Row],[Time]],Summary!$B$6/1440)</f>
        <v>0.70833333333333326</v>
      </c>
      <c r="I18" s="49">
        <f>INDEX(PeakCalc!$L$10:$L$303,MATCH(tblPivotData[[#This Row],[Time]],PeakCalc!$G$10:$G$303,0))</f>
        <v>1</v>
      </c>
    </row>
    <row r="19" spans="1:9" x14ac:dyDescent="0.25">
      <c r="A19" t="s">
        <v>93</v>
      </c>
      <c r="B19" t="s">
        <v>95</v>
      </c>
      <c r="C19" t="s">
        <v>96</v>
      </c>
      <c r="D19" t="s">
        <v>79</v>
      </c>
      <c r="E19" t="s">
        <v>44</v>
      </c>
      <c r="F19" s="6">
        <v>0.71875</v>
      </c>
      <c r="G19">
        <v>53</v>
      </c>
      <c r="H19" s="6">
        <f>FLOOR(tblPivotData[[#This Row],[Time]],Summary!$B$6/1440)</f>
        <v>0.71875</v>
      </c>
      <c r="I19" s="49">
        <f>INDEX(PeakCalc!$L$10:$L$303,MATCH(tblPivotData[[#This Row],[Time]],PeakCalc!$G$10:$G$303,0))</f>
        <v>1</v>
      </c>
    </row>
    <row r="20" spans="1:9" x14ac:dyDescent="0.25">
      <c r="A20" t="s">
        <v>93</v>
      </c>
      <c r="B20" t="s">
        <v>95</v>
      </c>
      <c r="C20" t="s">
        <v>96</v>
      </c>
      <c r="D20" t="s">
        <v>79</v>
      </c>
      <c r="E20" t="s">
        <v>44</v>
      </c>
      <c r="F20" s="6">
        <v>0.72916666666666663</v>
      </c>
      <c r="G20">
        <v>42</v>
      </c>
      <c r="H20" s="6">
        <f>FLOOR(tblPivotData[[#This Row],[Time]],Summary!$B$6/1440)</f>
        <v>0.72916666666666663</v>
      </c>
      <c r="I20" s="49">
        <f>INDEX(PeakCalc!$L$10:$L$303,MATCH(tblPivotData[[#This Row],[Time]],PeakCalc!$G$10:$G$303,0))</f>
        <v>1</v>
      </c>
    </row>
    <row r="21" spans="1:9" x14ac:dyDescent="0.25">
      <c r="A21" t="s">
        <v>93</v>
      </c>
      <c r="B21" t="s">
        <v>95</v>
      </c>
      <c r="C21" t="s">
        <v>96</v>
      </c>
      <c r="D21" t="s">
        <v>79</v>
      </c>
      <c r="E21" t="s">
        <v>44</v>
      </c>
      <c r="F21" s="6">
        <v>0.73958333333333337</v>
      </c>
      <c r="G21">
        <v>51</v>
      </c>
      <c r="H21" s="6">
        <f>FLOOR(tblPivotData[[#This Row],[Time]],Summary!$B$6/1440)</f>
        <v>0.73958333333333326</v>
      </c>
      <c r="I21" s="49">
        <f>INDEX(PeakCalc!$L$10:$L$303,MATCH(tblPivotData[[#This Row],[Time]],PeakCalc!$G$10:$G$303,0))</f>
        <v>0</v>
      </c>
    </row>
    <row r="22" spans="1:9" x14ac:dyDescent="0.25">
      <c r="A22" t="s">
        <v>93</v>
      </c>
      <c r="B22" t="s">
        <v>95</v>
      </c>
      <c r="C22" t="s">
        <v>96</v>
      </c>
      <c r="D22" t="s">
        <v>90</v>
      </c>
      <c r="E22" t="s">
        <v>43</v>
      </c>
      <c r="F22" s="6">
        <v>0.29166666666666669</v>
      </c>
      <c r="G22">
        <v>2</v>
      </c>
      <c r="H22" s="6">
        <f>FLOOR(tblPivotData[[#This Row],[Time]],Summary!$B$6/1440)</f>
        <v>0.29166666666666663</v>
      </c>
      <c r="I22" s="49">
        <f>INDEX(PeakCalc!$L$10:$L$303,MATCH(tblPivotData[[#This Row],[Time]],PeakCalc!$G$10:$G$303,0))</f>
        <v>0</v>
      </c>
    </row>
    <row r="23" spans="1:9" x14ac:dyDescent="0.25">
      <c r="A23" t="s">
        <v>93</v>
      </c>
      <c r="B23" t="s">
        <v>95</v>
      </c>
      <c r="C23" t="s">
        <v>96</v>
      </c>
      <c r="D23" t="s">
        <v>90</v>
      </c>
      <c r="E23" t="s">
        <v>43</v>
      </c>
      <c r="F23" s="6">
        <v>0.30208333333333331</v>
      </c>
      <c r="G23">
        <v>1</v>
      </c>
      <c r="H23" s="6">
        <f>FLOOR(tblPivotData[[#This Row],[Time]],Summary!$B$6/1440)</f>
        <v>0.30208333333333331</v>
      </c>
      <c r="I23" s="49">
        <f>INDEX(PeakCalc!$L$10:$L$303,MATCH(tblPivotData[[#This Row],[Time]],PeakCalc!$G$10:$G$303,0))</f>
        <v>0</v>
      </c>
    </row>
    <row r="24" spans="1:9" x14ac:dyDescent="0.25">
      <c r="A24" t="s">
        <v>93</v>
      </c>
      <c r="B24" t="s">
        <v>95</v>
      </c>
      <c r="C24" t="s">
        <v>96</v>
      </c>
      <c r="D24" t="s">
        <v>90</v>
      </c>
      <c r="E24" t="s">
        <v>43</v>
      </c>
      <c r="F24" s="6">
        <v>0.3125</v>
      </c>
      <c r="G24">
        <v>0</v>
      </c>
      <c r="H24" s="6">
        <f>FLOOR(tblPivotData[[#This Row],[Time]],Summary!$B$6/1440)</f>
        <v>0.3125</v>
      </c>
      <c r="I24" s="49">
        <f>INDEX(PeakCalc!$L$10:$L$303,MATCH(tblPivotData[[#This Row],[Time]],PeakCalc!$G$10:$G$303,0))</f>
        <v>0</v>
      </c>
    </row>
    <row r="25" spans="1:9" x14ac:dyDescent="0.25">
      <c r="A25" t="s">
        <v>93</v>
      </c>
      <c r="B25" t="s">
        <v>95</v>
      </c>
      <c r="C25" t="s">
        <v>96</v>
      </c>
      <c r="D25" t="s">
        <v>90</v>
      </c>
      <c r="E25" t="s">
        <v>43</v>
      </c>
      <c r="F25" s="6">
        <v>0.32291666666666669</v>
      </c>
      <c r="G25">
        <v>1</v>
      </c>
      <c r="H25" s="6">
        <f>FLOOR(tblPivotData[[#This Row],[Time]],Summary!$B$6/1440)</f>
        <v>0.32291666666666663</v>
      </c>
      <c r="I25" s="49">
        <f>INDEX(PeakCalc!$L$10:$L$303,MATCH(tblPivotData[[#This Row],[Time]],PeakCalc!$G$10:$G$303,0))</f>
        <v>0</v>
      </c>
    </row>
    <row r="26" spans="1:9" x14ac:dyDescent="0.25">
      <c r="A26" t="s">
        <v>93</v>
      </c>
      <c r="B26" t="s">
        <v>95</v>
      </c>
      <c r="C26" t="s">
        <v>96</v>
      </c>
      <c r="D26" t="s">
        <v>90</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95</v>
      </c>
      <c r="C27" t="s">
        <v>96</v>
      </c>
      <c r="D27" t="s">
        <v>90</v>
      </c>
      <c r="E27" t="s">
        <v>43</v>
      </c>
      <c r="F27" s="6">
        <v>0.34375</v>
      </c>
      <c r="G27">
        <v>3</v>
      </c>
      <c r="H27" s="6">
        <f>FLOOR(tblPivotData[[#This Row],[Time]],Summary!$B$6/1440)</f>
        <v>0.34375</v>
      </c>
      <c r="I27" s="49">
        <f>INDEX(PeakCalc!$L$10:$L$303,MATCH(tblPivotData[[#This Row],[Time]],PeakCalc!$G$10:$G$303,0))</f>
        <v>1</v>
      </c>
    </row>
    <row r="28" spans="1:9" x14ac:dyDescent="0.25">
      <c r="A28" t="s">
        <v>93</v>
      </c>
      <c r="B28" t="s">
        <v>95</v>
      </c>
      <c r="C28" t="s">
        <v>96</v>
      </c>
      <c r="D28" t="s">
        <v>90</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95</v>
      </c>
      <c r="C29" t="s">
        <v>96</v>
      </c>
      <c r="D29" t="s">
        <v>90</v>
      </c>
      <c r="E29" t="s">
        <v>43</v>
      </c>
      <c r="F29" s="6">
        <v>0.36458333333333331</v>
      </c>
      <c r="G29">
        <v>2</v>
      </c>
      <c r="H29" s="6">
        <f>FLOOR(tblPivotData[[#This Row],[Time]],Summary!$B$6/1440)</f>
        <v>0.36458333333333331</v>
      </c>
      <c r="I29" s="49">
        <f>INDEX(PeakCalc!$L$10:$L$303,MATCH(tblPivotData[[#This Row],[Time]],PeakCalc!$G$10:$G$303,0))</f>
        <v>1</v>
      </c>
    </row>
    <row r="30" spans="1:9" x14ac:dyDescent="0.25">
      <c r="A30" t="s">
        <v>93</v>
      </c>
      <c r="B30" t="s">
        <v>95</v>
      </c>
      <c r="C30" t="s">
        <v>96</v>
      </c>
      <c r="D30" t="s">
        <v>90</v>
      </c>
      <c r="E30" t="s">
        <v>91</v>
      </c>
      <c r="F30" s="6">
        <v>0.54166666666666663</v>
      </c>
      <c r="G30">
        <v>2</v>
      </c>
      <c r="H30" s="6">
        <f>FLOOR(tblPivotData[[#This Row],[Time]],Summary!$B$6/1440)</f>
        <v>0.54166666666666663</v>
      </c>
      <c r="I30" s="49">
        <f>INDEX(PeakCalc!$L$10:$L$303,MATCH(tblPivotData[[#This Row],[Time]],PeakCalc!$G$10:$G$303,0))</f>
        <v>1</v>
      </c>
    </row>
    <row r="31" spans="1:9" x14ac:dyDescent="0.25">
      <c r="A31" t="s">
        <v>93</v>
      </c>
      <c r="B31" t="s">
        <v>95</v>
      </c>
      <c r="C31" t="s">
        <v>96</v>
      </c>
      <c r="D31" t="s">
        <v>90</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95</v>
      </c>
      <c r="C32" t="s">
        <v>96</v>
      </c>
      <c r="D32" t="s">
        <v>90</v>
      </c>
      <c r="E32" t="s">
        <v>91</v>
      </c>
      <c r="F32" s="6">
        <v>0.5625</v>
      </c>
      <c r="G32">
        <v>1</v>
      </c>
      <c r="H32" s="6">
        <f>FLOOR(tblPivotData[[#This Row],[Time]],Summary!$B$6/1440)</f>
        <v>0.5625</v>
      </c>
      <c r="I32" s="49">
        <f>INDEX(PeakCalc!$L$10:$L$303,MATCH(tblPivotData[[#This Row],[Time]],PeakCalc!$G$10:$G$303,0))</f>
        <v>1</v>
      </c>
    </row>
    <row r="33" spans="1:9" x14ac:dyDescent="0.25">
      <c r="A33" t="s">
        <v>93</v>
      </c>
      <c r="B33" t="s">
        <v>95</v>
      </c>
      <c r="C33" t="s">
        <v>96</v>
      </c>
      <c r="D33" t="s">
        <v>90</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95</v>
      </c>
      <c r="C34" t="s">
        <v>96</v>
      </c>
      <c r="D34" t="s">
        <v>90</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95</v>
      </c>
      <c r="C35" t="s">
        <v>96</v>
      </c>
      <c r="D35" t="s">
        <v>90</v>
      </c>
      <c r="E35" t="s">
        <v>44</v>
      </c>
      <c r="F35" s="6">
        <v>0.67708333333333337</v>
      </c>
      <c r="G35">
        <v>1</v>
      </c>
      <c r="H35" s="6">
        <f>FLOOR(tblPivotData[[#This Row],[Time]],Summary!$B$6/1440)</f>
        <v>0.67708333333333326</v>
      </c>
      <c r="I35" s="49">
        <f>INDEX(PeakCalc!$L$10:$L$303,MATCH(tblPivotData[[#This Row],[Time]],PeakCalc!$G$10:$G$303,0))</f>
        <v>0</v>
      </c>
    </row>
    <row r="36" spans="1:9" x14ac:dyDescent="0.25">
      <c r="A36" t="s">
        <v>93</v>
      </c>
      <c r="B36" t="s">
        <v>95</v>
      </c>
      <c r="C36" t="s">
        <v>96</v>
      </c>
      <c r="D36" t="s">
        <v>90</v>
      </c>
      <c r="E36" t="s">
        <v>44</v>
      </c>
      <c r="F36" s="6">
        <v>0.6875</v>
      </c>
      <c r="G36">
        <v>0</v>
      </c>
      <c r="H36" s="6">
        <f>FLOOR(tblPivotData[[#This Row],[Time]],Summary!$B$6/1440)</f>
        <v>0.6875</v>
      </c>
      <c r="I36" s="49">
        <f>INDEX(PeakCalc!$L$10:$L$303,MATCH(tblPivotData[[#This Row],[Time]],PeakCalc!$G$10:$G$303,0))</f>
        <v>0</v>
      </c>
    </row>
    <row r="37" spans="1:9" x14ac:dyDescent="0.25">
      <c r="A37" t="s">
        <v>93</v>
      </c>
      <c r="B37" t="s">
        <v>95</v>
      </c>
      <c r="C37" t="s">
        <v>96</v>
      </c>
      <c r="D37" t="s">
        <v>90</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93</v>
      </c>
      <c r="B38" t="s">
        <v>95</v>
      </c>
      <c r="C38" t="s">
        <v>96</v>
      </c>
      <c r="D38" t="s">
        <v>90</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95</v>
      </c>
      <c r="C39" t="s">
        <v>96</v>
      </c>
      <c r="D39" t="s">
        <v>90</v>
      </c>
      <c r="E39" t="s">
        <v>44</v>
      </c>
      <c r="F39" s="6">
        <v>0.71875</v>
      </c>
      <c r="G39">
        <v>0</v>
      </c>
      <c r="H39" s="6">
        <f>FLOOR(tblPivotData[[#This Row],[Time]],Summary!$B$6/1440)</f>
        <v>0.71875</v>
      </c>
      <c r="I39" s="49">
        <f>INDEX(PeakCalc!$L$10:$L$303,MATCH(tblPivotData[[#This Row],[Time]],PeakCalc!$G$10:$G$303,0))</f>
        <v>1</v>
      </c>
    </row>
    <row r="40" spans="1:9" x14ac:dyDescent="0.25">
      <c r="A40" t="s">
        <v>93</v>
      </c>
      <c r="B40" t="s">
        <v>95</v>
      </c>
      <c r="C40" t="s">
        <v>96</v>
      </c>
      <c r="D40" t="s">
        <v>90</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93</v>
      </c>
      <c r="B41" t="s">
        <v>95</v>
      </c>
      <c r="C41" t="s">
        <v>96</v>
      </c>
      <c r="D41" t="s">
        <v>90</v>
      </c>
      <c r="E41" t="s">
        <v>44</v>
      </c>
      <c r="F41" s="6">
        <v>0.73958333333333337</v>
      </c>
      <c r="G41">
        <v>1</v>
      </c>
      <c r="H41" s="6">
        <f>FLOOR(tblPivotData[[#This Row],[Time]],Summary!$B$6/1440)</f>
        <v>0.73958333333333326</v>
      </c>
      <c r="I41" s="49">
        <f>INDEX(PeakCalc!$L$10:$L$303,MATCH(tblPivotData[[#This Row],[Time]],PeakCalc!$G$10:$G$303,0))</f>
        <v>0</v>
      </c>
    </row>
    <row r="42" spans="1:9" x14ac:dyDescent="0.25">
      <c r="A42" t="s">
        <v>93</v>
      </c>
      <c r="B42" t="s">
        <v>95</v>
      </c>
      <c r="C42" t="s">
        <v>96</v>
      </c>
      <c r="D42" t="s">
        <v>88</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95</v>
      </c>
      <c r="C43" t="s">
        <v>96</v>
      </c>
      <c r="D43" t="s">
        <v>88</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95</v>
      </c>
      <c r="C44" t="s">
        <v>96</v>
      </c>
      <c r="D44" t="s">
        <v>88</v>
      </c>
      <c r="E44" t="s">
        <v>43</v>
      </c>
      <c r="F44" s="6">
        <v>0.3125</v>
      </c>
      <c r="G44">
        <v>0</v>
      </c>
      <c r="H44" s="6">
        <f>FLOOR(tblPivotData[[#This Row],[Time]],Summary!$B$6/1440)</f>
        <v>0.3125</v>
      </c>
      <c r="I44" s="49">
        <f>INDEX(PeakCalc!$L$10:$L$303,MATCH(tblPivotData[[#This Row],[Time]],PeakCalc!$G$10:$G$303,0))</f>
        <v>0</v>
      </c>
    </row>
    <row r="45" spans="1:9" x14ac:dyDescent="0.25">
      <c r="A45" t="s">
        <v>93</v>
      </c>
      <c r="B45" t="s">
        <v>95</v>
      </c>
      <c r="C45" t="s">
        <v>96</v>
      </c>
      <c r="D45" t="s">
        <v>88</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95</v>
      </c>
      <c r="C46" t="s">
        <v>96</v>
      </c>
      <c r="D46" t="s">
        <v>88</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95</v>
      </c>
      <c r="C47" t="s">
        <v>96</v>
      </c>
      <c r="D47" t="s">
        <v>88</v>
      </c>
      <c r="E47" t="s">
        <v>43</v>
      </c>
      <c r="F47" s="6">
        <v>0.34375</v>
      </c>
      <c r="G47">
        <v>0</v>
      </c>
      <c r="H47" s="6">
        <f>FLOOR(tblPivotData[[#This Row],[Time]],Summary!$B$6/1440)</f>
        <v>0.34375</v>
      </c>
      <c r="I47" s="49">
        <f>INDEX(PeakCalc!$L$10:$L$303,MATCH(tblPivotData[[#This Row],[Time]],PeakCalc!$G$10:$G$303,0))</f>
        <v>1</v>
      </c>
    </row>
    <row r="48" spans="1:9" x14ac:dyDescent="0.25">
      <c r="A48" t="s">
        <v>93</v>
      </c>
      <c r="B48" t="s">
        <v>95</v>
      </c>
      <c r="C48" t="s">
        <v>96</v>
      </c>
      <c r="D48" t="s">
        <v>88</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95</v>
      </c>
      <c r="C49" t="s">
        <v>96</v>
      </c>
      <c r="D49" t="s">
        <v>88</v>
      </c>
      <c r="E49" t="s">
        <v>43</v>
      </c>
      <c r="F49" s="6">
        <v>0.36458333333333331</v>
      </c>
      <c r="G49">
        <v>2</v>
      </c>
      <c r="H49" s="6">
        <f>FLOOR(tblPivotData[[#This Row],[Time]],Summary!$B$6/1440)</f>
        <v>0.36458333333333331</v>
      </c>
      <c r="I49" s="49">
        <f>INDEX(PeakCalc!$L$10:$L$303,MATCH(tblPivotData[[#This Row],[Time]],PeakCalc!$G$10:$G$303,0))</f>
        <v>1</v>
      </c>
    </row>
    <row r="50" spans="1:9" x14ac:dyDescent="0.25">
      <c r="A50" t="s">
        <v>93</v>
      </c>
      <c r="B50" t="s">
        <v>95</v>
      </c>
      <c r="C50" t="s">
        <v>96</v>
      </c>
      <c r="D50" t="s">
        <v>88</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95</v>
      </c>
      <c r="C51" t="s">
        <v>96</v>
      </c>
      <c r="D51" t="s">
        <v>88</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95</v>
      </c>
      <c r="C52" t="s">
        <v>96</v>
      </c>
      <c r="D52" t="s">
        <v>88</v>
      </c>
      <c r="E52" t="s">
        <v>91</v>
      </c>
      <c r="F52" s="6">
        <v>0.5625</v>
      </c>
      <c r="G52">
        <v>1</v>
      </c>
      <c r="H52" s="6">
        <f>FLOOR(tblPivotData[[#This Row],[Time]],Summary!$B$6/1440)</f>
        <v>0.5625</v>
      </c>
      <c r="I52" s="49">
        <f>INDEX(PeakCalc!$L$10:$L$303,MATCH(tblPivotData[[#This Row],[Time]],PeakCalc!$G$10:$G$303,0))</f>
        <v>1</v>
      </c>
    </row>
    <row r="53" spans="1:9" x14ac:dyDescent="0.25">
      <c r="A53" t="s">
        <v>93</v>
      </c>
      <c r="B53" t="s">
        <v>95</v>
      </c>
      <c r="C53" t="s">
        <v>96</v>
      </c>
      <c r="D53" t="s">
        <v>88</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93</v>
      </c>
      <c r="B54" t="s">
        <v>95</v>
      </c>
      <c r="C54" t="s">
        <v>96</v>
      </c>
      <c r="D54" t="s">
        <v>88</v>
      </c>
      <c r="E54" t="s">
        <v>44</v>
      </c>
      <c r="F54" s="6">
        <v>0.66666666666666663</v>
      </c>
      <c r="G54">
        <v>1</v>
      </c>
      <c r="H54" s="6">
        <f>FLOOR(tblPivotData[[#This Row],[Time]],Summary!$B$6/1440)</f>
        <v>0.66666666666666663</v>
      </c>
      <c r="I54" s="49">
        <f>INDEX(PeakCalc!$L$10:$L$303,MATCH(tblPivotData[[#This Row],[Time]],PeakCalc!$G$10:$G$303,0))</f>
        <v>0</v>
      </c>
    </row>
    <row r="55" spans="1:9" x14ac:dyDescent="0.25">
      <c r="A55" t="s">
        <v>93</v>
      </c>
      <c r="B55" t="s">
        <v>95</v>
      </c>
      <c r="C55" t="s">
        <v>96</v>
      </c>
      <c r="D55" t="s">
        <v>88</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95</v>
      </c>
      <c r="C56" t="s">
        <v>96</v>
      </c>
      <c r="D56" t="s">
        <v>88</v>
      </c>
      <c r="E56" t="s">
        <v>44</v>
      </c>
      <c r="F56" s="6">
        <v>0.6875</v>
      </c>
      <c r="G56">
        <v>3</v>
      </c>
      <c r="H56" s="6">
        <f>FLOOR(tblPivotData[[#This Row],[Time]],Summary!$B$6/1440)</f>
        <v>0.6875</v>
      </c>
      <c r="I56" s="49">
        <f>INDEX(PeakCalc!$L$10:$L$303,MATCH(tblPivotData[[#This Row],[Time]],PeakCalc!$G$10:$G$303,0))</f>
        <v>0</v>
      </c>
    </row>
    <row r="57" spans="1:9" x14ac:dyDescent="0.25">
      <c r="A57" t="s">
        <v>93</v>
      </c>
      <c r="B57" t="s">
        <v>95</v>
      </c>
      <c r="C57" t="s">
        <v>96</v>
      </c>
      <c r="D57" t="s">
        <v>88</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95</v>
      </c>
      <c r="C58" t="s">
        <v>96</v>
      </c>
      <c r="D58" t="s">
        <v>88</v>
      </c>
      <c r="E58" t="s">
        <v>44</v>
      </c>
      <c r="F58" s="6">
        <v>0.70833333333333337</v>
      </c>
      <c r="G58">
        <v>5</v>
      </c>
      <c r="H58" s="6">
        <f>FLOOR(tblPivotData[[#This Row],[Time]],Summary!$B$6/1440)</f>
        <v>0.70833333333333326</v>
      </c>
      <c r="I58" s="49">
        <f>INDEX(PeakCalc!$L$10:$L$303,MATCH(tblPivotData[[#This Row],[Time]],PeakCalc!$G$10:$G$303,0))</f>
        <v>1</v>
      </c>
    </row>
    <row r="59" spans="1:9" x14ac:dyDescent="0.25">
      <c r="A59" t="s">
        <v>93</v>
      </c>
      <c r="B59" t="s">
        <v>95</v>
      </c>
      <c r="C59" t="s">
        <v>96</v>
      </c>
      <c r="D59" t="s">
        <v>88</v>
      </c>
      <c r="E59" t="s">
        <v>44</v>
      </c>
      <c r="F59" s="6">
        <v>0.71875</v>
      </c>
      <c r="G59">
        <v>4</v>
      </c>
      <c r="H59" s="6">
        <f>FLOOR(tblPivotData[[#This Row],[Time]],Summary!$B$6/1440)</f>
        <v>0.71875</v>
      </c>
      <c r="I59" s="49">
        <f>INDEX(PeakCalc!$L$10:$L$303,MATCH(tblPivotData[[#This Row],[Time]],PeakCalc!$G$10:$G$303,0))</f>
        <v>1</v>
      </c>
    </row>
    <row r="60" spans="1:9" x14ac:dyDescent="0.25">
      <c r="A60" t="s">
        <v>93</v>
      </c>
      <c r="B60" t="s">
        <v>95</v>
      </c>
      <c r="C60" t="s">
        <v>96</v>
      </c>
      <c r="D60" t="s">
        <v>88</v>
      </c>
      <c r="E60" t="s">
        <v>44</v>
      </c>
      <c r="F60" s="6">
        <v>0.72916666666666663</v>
      </c>
      <c r="G60">
        <v>4</v>
      </c>
      <c r="H60" s="6">
        <f>FLOOR(tblPivotData[[#This Row],[Time]],Summary!$B$6/1440)</f>
        <v>0.72916666666666663</v>
      </c>
      <c r="I60" s="49">
        <f>INDEX(PeakCalc!$L$10:$L$303,MATCH(tblPivotData[[#This Row],[Time]],PeakCalc!$G$10:$G$303,0))</f>
        <v>1</v>
      </c>
    </row>
    <row r="61" spans="1:9" x14ac:dyDescent="0.25">
      <c r="A61" t="s">
        <v>93</v>
      </c>
      <c r="B61" t="s">
        <v>95</v>
      </c>
      <c r="C61" t="s">
        <v>96</v>
      </c>
      <c r="D61" t="s">
        <v>88</v>
      </c>
      <c r="E61" t="s">
        <v>44</v>
      </c>
      <c r="F61" s="6">
        <v>0.73958333333333337</v>
      </c>
      <c r="G61">
        <v>5</v>
      </c>
      <c r="H61" s="6">
        <f>FLOOR(tblPivotData[[#This Row],[Time]],Summary!$B$6/1440)</f>
        <v>0.73958333333333326</v>
      </c>
      <c r="I61" s="49">
        <f>INDEX(PeakCalc!$L$10:$L$303,MATCH(tblPivotData[[#This Row],[Time]],PeakCalc!$G$10:$G$303,0))</f>
        <v>0</v>
      </c>
    </row>
    <row r="62" spans="1:9" x14ac:dyDescent="0.25">
      <c r="A62" t="s">
        <v>93</v>
      </c>
      <c r="B62" t="s">
        <v>97</v>
      </c>
      <c r="C62" t="s">
        <v>94</v>
      </c>
      <c r="D62" t="s">
        <v>79</v>
      </c>
      <c r="E62" t="s">
        <v>43</v>
      </c>
      <c r="F62" s="6">
        <v>0.29166666666666669</v>
      </c>
      <c r="G62">
        <v>29</v>
      </c>
      <c r="H62" s="6">
        <f>FLOOR(tblPivotData[[#This Row],[Time]],Summary!$B$6/1440)</f>
        <v>0.29166666666666663</v>
      </c>
      <c r="I62" s="49">
        <f>INDEX(PeakCalc!$L$10:$L$303,MATCH(tblPivotData[[#This Row],[Time]],PeakCalc!$G$10:$G$303,0))</f>
        <v>0</v>
      </c>
    </row>
    <row r="63" spans="1:9" x14ac:dyDescent="0.25">
      <c r="A63" t="s">
        <v>93</v>
      </c>
      <c r="B63" t="s">
        <v>97</v>
      </c>
      <c r="C63" t="s">
        <v>94</v>
      </c>
      <c r="D63" t="s">
        <v>79</v>
      </c>
      <c r="E63" t="s">
        <v>43</v>
      </c>
      <c r="F63" s="6">
        <v>0.30208333333333331</v>
      </c>
      <c r="G63">
        <v>46</v>
      </c>
      <c r="H63" s="6">
        <f>FLOOR(tblPivotData[[#This Row],[Time]],Summary!$B$6/1440)</f>
        <v>0.30208333333333331</v>
      </c>
      <c r="I63" s="49">
        <f>INDEX(PeakCalc!$L$10:$L$303,MATCH(tblPivotData[[#This Row],[Time]],PeakCalc!$G$10:$G$303,0))</f>
        <v>0</v>
      </c>
    </row>
    <row r="64" spans="1:9" x14ac:dyDescent="0.25">
      <c r="A64" t="s">
        <v>93</v>
      </c>
      <c r="B64" t="s">
        <v>97</v>
      </c>
      <c r="C64" t="s">
        <v>94</v>
      </c>
      <c r="D64" t="s">
        <v>79</v>
      </c>
      <c r="E64" t="s">
        <v>43</v>
      </c>
      <c r="F64" s="6">
        <v>0.3125</v>
      </c>
      <c r="G64">
        <v>64</v>
      </c>
      <c r="H64" s="6">
        <f>FLOOR(tblPivotData[[#This Row],[Time]],Summary!$B$6/1440)</f>
        <v>0.3125</v>
      </c>
      <c r="I64" s="49">
        <f>INDEX(PeakCalc!$L$10:$L$303,MATCH(tblPivotData[[#This Row],[Time]],PeakCalc!$G$10:$G$303,0))</f>
        <v>0</v>
      </c>
    </row>
    <row r="65" spans="1:9" x14ac:dyDescent="0.25">
      <c r="A65" t="s">
        <v>93</v>
      </c>
      <c r="B65" t="s">
        <v>97</v>
      </c>
      <c r="C65" t="s">
        <v>94</v>
      </c>
      <c r="D65" t="s">
        <v>79</v>
      </c>
      <c r="E65" t="s">
        <v>43</v>
      </c>
      <c r="F65" s="6">
        <v>0.32291666666666669</v>
      </c>
      <c r="G65">
        <v>64</v>
      </c>
      <c r="H65" s="6">
        <f>FLOOR(tblPivotData[[#This Row],[Time]],Summary!$B$6/1440)</f>
        <v>0.32291666666666663</v>
      </c>
      <c r="I65" s="49">
        <f>INDEX(PeakCalc!$L$10:$L$303,MATCH(tblPivotData[[#This Row],[Time]],PeakCalc!$G$10:$G$303,0))</f>
        <v>0</v>
      </c>
    </row>
    <row r="66" spans="1:9" x14ac:dyDescent="0.25">
      <c r="A66" t="s">
        <v>93</v>
      </c>
      <c r="B66" t="s">
        <v>97</v>
      </c>
      <c r="C66" t="s">
        <v>94</v>
      </c>
      <c r="D66" t="s">
        <v>79</v>
      </c>
      <c r="E66" t="s">
        <v>43</v>
      </c>
      <c r="F66" s="6">
        <v>0.33333333333333331</v>
      </c>
      <c r="G66">
        <v>70</v>
      </c>
      <c r="H66" s="6">
        <f>FLOOR(tblPivotData[[#This Row],[Time]],Summary!$B$6/1440)</f>
        <v>0.33333333333333331</v>
      </c>
      <c r="I66" s="49">
        <f>INDEX(PeakCalc!$L$10:$L$303,MATCH(tblPivotData[[#This Row],[Time]],PeakCalc!$G$10:$G$303,0))</f>
        <v>1</v>
      </c>
    </row>
    <row r="67" spans="1:9" x14ac:dyDescent="0.25">
      <c r="A67" t="s">
        <v>93</v>
      </c>
      <c r="B67" t="s">
        <v>97</v>
      </c>
      <c r="C67" t="s">
        <v>94</v>
      </c>
      <c r="D67" t="s">
        <v>79</v>
      </c>
      <c r="E67" t="s">
        <v>43</v>
      </c>
      <c r="F67" s="6">
        <v>0.34375</v>
      </c>
      <c r="G67">
        <v>87</v>
      </c>
      <c r="H67" s="6">
        <f>FLOOR(tblPivotData[[#This Row],[Time]],Summary!$B$6/1440)</f>
        <v>0.34375</v>
      </c>
      <c r="I67" s="49">
        <f>INDEX(PeakCalc!$L$10:$L$303,MATCH(tblPivotData[[#This Row],[Time]],PeakCalc!$G$10:$G$303,0))</f>
        <v>1</v>
      </c>
    </row>
    <row r="68" spans="1:9" x14ac:dyDescent="0.25">
      <c r="A68" t="s">
        <v>93</v>
      </c>
      <c r="B68" t="s">
        <v>97</v>
      </c>
      <c r="C68" t="s">
        <v>94</v>
      </c>
      <c r="D68" t="s">
        <v>79</v>
      </c>
      <c r="E68" t="s">
        <v>43</v>
      </c>
      <c r="F68" s="6">
        <v>0.35416666666666669</v>
      </c>
      <c r="G68">
        <v>73</v>
      </c>
      <c r="H68" s="6">
        <f>FLOOR(tblPivotData[[#This Row],[Time]],Summary!$B$6/1440)</f>
        <v>0.35416666666666663</v>
      </c>
      <c r="I68" s="49">
        <f>INDEX(PeakCalc!$L$10:$L$303,MATCH(tblPivotData[[#This Row],[Time]],PeakCalc!$G$10:$G$303,0))</f>
        <v>1</v>
      </c>
    </row>
    <row r="69" spans="1:9" x14ac:dyDescent="0.25">
      <c r="A69" t="s">
        <v>93</v>
      </c>
      <c r="B69" t="s">
        <v>97</v>
      </c>
      <c r="C69" t="s">
        <v>94</v>
      </c>
      <c r="D69" t="s">
        <v>79</v>
      </c>
      <c r="E69" t="s">
        <v>43</v>
      </c>
      <c r="F69" s="6">
        <v>0.36458333333333331</v>
      </c>
      <c r="G69">
        <v>76</v>
      </c>
      <c r="H69" s="6">
        <f>FLOOR(tblPivotData[[#This Row],[Time]],Summary!$B$6/1440)</f>
        <v>0.36458333333333331</v>
      </c>
      <c r="I69" s="49">
        <f>INDEX(PeakCalc!$L$10:$L$303,MATCH(tblPivotData[[#This Row],[Time]],PeakCalc!$G$10:$G$303,0))</f>
        <v>1</v>
      </c>
    </row>
    <row r="70" spans="1:9" x14ac:dyDescent="0.25">
      <c r="A70" t="s">
        <v>93</v>
      </c>
      <c r="B70" t="s">
        <v>97</v>
      </c>
      <c r="C70" t="s">
        <v>94</v>
      </c>
      <c r="D70" t="s">
        <v>79</v>
      </c>
      <c r="E70" t="s">
        <v>91</v>
      </c>
      <c r="F70" s="6">
        <v>0.54166666666666663</v>
      </c>
      <c r="G70">
        <v>34</v>
      </c>
      <c r="H70" s="6">
        <f>FLOOR(tblPivotData[[#This Row],[Time]],Summary!$B$6/1440)</f>
        <v>0.54166666666666663</v>
      </c>
      <c r="I70" s="49">
        <f>INDEX(PeakCalc!$L$10:$L$303,MATCH(tblPivotData[[#This Row],[Time]],PeakCalc!$G$10:$G$303,0))</f>
        <v>1</v>
      </c>
    </row>
    <row r="71" spans="1:9" x14ac:dyDescent="0.25">
      <c r="A71" t="s">
        <v>93</v>
      </c>
      <c r="B71" t="s">
        <v>97</v>
      </c>
      <c r="C71" t="s">
        <v>94</v>
      </c>
      <c r="D71" t="s">
        <v>79</v>
      </c>
      <c r="E71" t="s">
        <v>91</v>
      </c>
      <c r="F71" s="6">
        <v>0.55208333333333337</v>
      </c>
      <c r="G71">
        <v>35</v>
      </c>
      <c r="H71" s="6">
        <f>FLOOR(tblPivotData[[#This Row],[Time]],Summary!$B$6/1440)</f>
        <v>0.55208333333333326</v>
      </c>
      <c r="I71" s="49">
        <f>INDEX(PeakCalc!$L$10:$L$303,MATCH(tblPivotData[[#This Row],[Time]],PeakCalc!$G$10:$G$303,0))</f>
        <v>1</v>
      </c>
    </row>
    <row r="72" spans="1:9" x14ac:dyDescent="0.25">
      <c r="A72" t="s">
        <v>93</v>
      </c>
      <c r="B72" t="s">
        <v>97</v>
      </c>
      <c r="C72" t="s">
        <v>94</v>
      </c>
      <c r="D72" t="s">
        <v>79</v>
      </c>
      <c r="E72" t="s">
        <v>91</v>
      </c>
      <c r="F72" s="6">
        <v>0.5625</v>
      </c>
      <c r="G72">
        <v>44</v>
      </c>
      <c r="H72" s="6">
        <f>FLOOR(tblPivotData[[#This Row],[Time]],Summary!$B$6/1440)</f>
        <v>0.5625</v>
      </c>
      <c r="I72" s="49">
        <f>INDEX(PeakCalc!$L$10:$L$303,MATCH(tblPivotData[[#This Row],[Time]],PeakCalc!$G$10:$G$303,0))</f>
        <v>1</v>
      </c>
    </row>
    <row r="73" spans="1:9" x14ac:dyDescent="0.25">
      <c r="A73" t="s">
        <v>93</v>
      </c>
      <c r="B73" t="s">
        <v>97</v>
      </c>
      <c r="C73" t="s">
        <v>94</v>
      </c>
      <c r="D73" t="s">
        <v>79</v>
      </c>
      <c r="E73" t="s">
        <v>91</v>
      </c>
      <c r="F73" s="6">
        <v>0.57291666666666663</v>
      </c>
      <c r="G73">
        <v>40</v>
      </c>
      <c r="H73" s="6">
        <f>FLOOR(tblPivotData[[#This Row],[Time]],Summary!$B$6/1440)</f>
        <v>0.57291666666666663</v>
      </c>
      <c r="I73" s="49">
        <f>INDEX(PeakCalc!$L$10:$L$303,MATCH(tblPivotData[[#This Row],[Time]],PeakCalc!$G$10:$G$303,0))</f>
        <v>1</v>
      </c>
    </row>
    <row r="74" spans="1:9" x14ac:dyDescent="0.25">
      <c r="A74" t="s">
        <v>93</v>
      </c>
      <c r="B74" t="s">
        <v>97</v>
      </c>
      <c r="C74" t="s">
        <v>94</v>
      </c>
      <c r="D74" t="s">
        <v>79</v>
      </c>
      <c r="E74" t="s">
        <v>44</v>
      </c>
      <c r="F74" s="6">
        <v>0.66666666666666663</v>
      </c>
      <c r="G74">
        <v>84</v>
      </c>
      <c r="H74" s="6">
        <f>FLOOR(tblPivotData[[#This Row],[Time]],Summary!$B$6/1440)</f>
        <v>0.66666666666666663</v>
      </c>
      <c r="I74" s="49">
        <f>INDEX(PeakCalc!$L$10:$L$303,MATCH(tblPivotData[[#This Row],[Time]],PeakCalc!$G$10:$G$303,0))</f>
        <v>0</v>
      </c>
    </row>
    <row r="75" spans="1:9" x14ac:dyDescent="0.25">
      <c r="A75" t="s">
        <v>93</v>
      </c>
      <c r="B75" t="s">
        <v>97</v>
      </c>
      <c r="C75" t="s">
        <v>94</v>
      </c>
      <c r="D75" t="s">
        <v>79</v>
      </c>
      <c r="E75" t="s">
        <v>44</v>
      </c>
      <c r="F75" s="6">
        <v>0.67708333333333337</v>
      </c>
      <c r="G75">
        <v>94</v>
      </c>
      <c r="H75" s="6">
        <f>FLOOR(tblPivotData[[#This Row],[Time]],Summary!$B$6/1440)</f>
        <v>0.67708333333333326</v>
      </c>
      <c r="I75" s="49">
        <f>INDEX(PeakCalc!$L$10:$L$303,MATCH(tblPivotData[[#This Row],[Time]],PeakCalc!$G$10:$G$303,0))</f>
        <v>0</v>
      </c>
    </row>
    <row r="76" spans="1:9" x14ac:dyDescent="0.25">
      <c r="A76" t="s">
        <v>93</v>
      </c>
      <c r="B76" t="s">
        <v>97</v>
      </c>
      <c r="C76" t="s">
        <v>94</v>
      </c>
      <c r="D76" t="s">
        <v>79</v>
      </c>
      <c r="E76" t="s">
        <v>44</v>
      </c>
      <c r="F76" s="6">
        <v>0.6875</v>
      </c>
      <c r="G76">
        <v>89</v>
      </c>
      <c r="H76" s="6">
        <f>FLOOR(tblPivotData[[#This Row],[Time]],Summary!$B$6/1440)</f>
        <v>0.6875</v>
      </c>
      <c r="I76" s="49">
        <f>INDEX(PeakCalc!$L$10:$L$303,MATCH(tblPivotData[[#This Row],[Time]],PeakCalc!$G$10:$G$303,0))</f>
        <v>0</v>
      </c>
    </row>
    <row r="77" spans="1:9" x14ac:dyDescent="0.25">
      <c r="A77" t="s">
        <v>93</v>
      </c>
      <c r="B77" t="s">
        <v>97</v>
      </c>
      <c r="C77" t="s">
        <v>94</v>
      </c>
      <c r="D77" t="s">
        <v>79</v>
      </c>
      <c r="E77" t="s">
        <v>44</v>
      </c>
      <c r="F77" s="6">
        <v>0.69791666666666663</v>
      </c>
      <c r="G77">
        <v>105</v>
      </c>
      <c r="H77" s="6">
        <f>FLOOR(tblPivotData[[#This Row],[Time]],Summary!$B$6/1440)</f>
        <v>0.69791666666666663</v>
      </c>
      <c r="I77" s="49">
        <f>INDEX(PeakCalc!$L$10:$L$303,MATCH(tblPivotData[[#This Row],[Time]],PeakCalc!$G$10:$G$303,0))</f>
        <v>1</v>
      </c>
    </row>
    <row r="78" spans="1:9" x14ac:dyDescent="0.25">
      <c r="A78" t="s">
        <v>93</v>
      </c>
      <c r="B78" t="s">
        <v>97</v>
      </c>
      <c r="C78" t="s">
        <v>94</v>
      </c>
      <c r="D78" t="s">
        <v>79</v>
      </c>
      <c r="E78" t="s">
        <v>44</v>
      </c>
      <c r="F78" s="6">
        <v>0.70833333333333337</v>
      </c>
      <c r="G78">
        <v>103</v>
      </c>
      <c r="H78" s="6">
        <f>FLOOR(tblPivotData[[#This Row],[Time]],Summary!$B$6/1440)</f>
        <v>0.70833333333333326</v>
      </c>
      <c r="I78" s="49">
        <f>INDEX(PeakCalc!$L$10:$L$303,MATCH(tblPivotData[[#This Row],[Time]],PeakCalc!$G$10:$G$303,0))</f>
        <v>1</v>
      </c>
    </row>
    <row r="79" spans="1:9" x14ac:dyDescent="0.25">
      <c r="A79" t="s">
        <v>93</v>
      </c>
      <c r="B79" t="s">
        <v>97</v>
      </c>
      <c r="C79" t="s">
        <v>94</v>
      </c>
      <c r="D79" t="s">
        <v>79</v>
      </c>
      <c r="E79" t="s">
        <v>44</v>
      </c>
      <c r="F79" s="6">
        <v>0.71875</v>
      </c>
      <c r="G79">
        <v>103</v>
      </c>
      <c r="H79" s="6">
        <f>FLOOR(tblPivotData[[#This Row],[Time]],Summary!$B$6/1440)</f>
        <v>0.71875</v>
      </c>
      <c r="I79" s="49">
        <f>INDEX(PeakCalc!$L$10:$L$303,MATCH(tblPivotData[[#This Row],[Time]],PeakCalc!$G$10:$G$303,0))</f>
        <v>1</v>
      </c>
    </row>
    <row r="80" spans="1:9" x14ac:dyDescent="0.25">
      <c r="A80" t="s">
        <v>93</v>
      </c>
      <c r="B80" t="s">
        <v>97</v>
      </c>
      <c r="C80" t="s">
        <v>94</v>
      </c>
      <c r="D80" t="s">
        <v>79</v>
      </c>
      <c r="E80" t="s">
        <v>44</v>
      </c>
      <c r="F80" s="6">
        <v>0.72916666666666663</v>
      </c>
      <c r="G80">
        <v>92</v>
      </c>
      <c r="H80" s="6">
        <f>FLOOR(tblPivotData[[#This Row],[Time]],Summary!$B$6/1440)</f>
        <v>0.72916666666666663</v>
      </c>
      <c r="I80" s="49">
        <f>INDEX(PeakCalc!$L$10:$L$303,MATCH(tblPivotData[[#This Row],[Time]],PeakCalc!$G$10:$G$303,0))</f>
        <v>1</v>
      </c>
    </row>
    <row r="81" spans="1:9" x14ac:dyDescent="0.25">
      <c r="A81" t="s">
        <v>93</v>
      </c>
      <c r="B81" t="s">
        <v>97</v>
      </c>
      <c r="C81" t="s">
        <v>94</v>
      </c>
      <c r="D81" t="s">
        <v>79</v>
      </c>
      <c r="E81" t="s">
        <v>44</v>
      </c>
      <c r="F81" s="6">
        <v>0.73958333333333337</v>
      </c>
      <c r="G81">
        <v>82</v>
      </c>
      <c r="H81" s="6">
        <f>FLOOR(tblPivotData[[#This Row],[Time]],Summary!$B$6/1440)</f>
        <v>0.73958333333333326</v>
      </c>
      <c r="I81" s="49">
        <f>INDEX(PeakCalc!$L$10:$L$303,MATCH(tblPivotData[[#This Row],[Time]],PeakCalc!$G$10:$G$303,0))</f>
        <v>0</v>
      </c>
    </row>
    <row r="82" spans="1:9" x14ac:dyDescent="0.25">
      <c r="A82" t="s">
        <v>93</v>
      </c>
      <c r="B82" t="s">
        <v>97</v>
      </c>
      <c r="C82" t="s">
        <v>94</v>
      </c>
      <c r="D82" t="s">
        <v>90</v>
      </c>
      <c r="E82" t="s">
        <v>43</v>
      </c>
      <c r="F82" s="6">
        <v>0.29166666666666669</v>
      </c>
      <c r="G82">
        <v>1</v>
      </c>
      <c r="H82" s="6">
        <f>FLOOR(tblPivotData[[#This Row],[Time]],Summary!$B$6/1440)</f>
        <v>0.29166666666666663</v>
      </c>
      <c r="I82" s="49">
        <f>INDEX(PeakCalc!$L$10:$L$303,MATCH(tblPivotData[[#This Row],[Time]],PeakCalc!$G$10:$G$303,0))</f>
        <v>0</v>
      </c>
    </row>
    <row r="83" spans="1:9" x14ac:dyDescent="0.25">
      <c r="A83" t="s">
        <v>93</v>
      </c>
      <c r="B83" t="s">
        <v>97</v>
      </c>
      <c r="C83" t="s">
        <v>94</v>
      </c>
      <c r="D83" t="s">
        <v>90</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94</v>
      </c>
      <c r="D84" t="s">
        <v>90</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94</v>
      </c>
      <c r="D85" t="s">
        <v>90</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94</v>
      </c>
      <c r="D86" t="s">
        <v>90</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97</v>
      </c>
      <c r="C87" t="s">
        <v>94</v>
      </c>
      <c r="D87" t="s">
        <v>90</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94</v>
      </c>
      <c r="D88" t="s">
        <v>90</v>
      </c>
      <c r="E88" t="s">
        <v>43</v>
      </c>
      <c r="F88" s="6">
        <v>0.35416666666666669</v>
      </c>
      <c r="G88">
        <v>1</v>
      </c>
      <c r="H88" s="6">
        <f>FLOOR(tblPivotData[[#This Row],[Time]],Summary!$B$6/1440)</f>
        <v>0.35416666666666663</v>
      </c>
      <c r="I88" s="49">
        <f>INDEX(PeakCalc!$L$10:$L$303,MATCH(tblPivotData[[#This Row],[Time]],PeakCalc!$G$10:$G$303,0))</f>
        <v>1</v>
      </c>
    </row>
    <row r="89" spans="1:9" x14ac:dyDescent="0.25">
      <c r="A89" t="s">
        <v>93</v>
      </c>
      <c r="B89" t="s">
        <v>97</v>
      </c>
      <c r="C89" t="s">
        <v>94</v>
      </c>
      <c r="D89" t="s">
        <v>90</v>
      </c>
      <c r="E89" t="s">
        <v>43</v>
      </c>
      <c r="F89" s="6">
        <v>0.36458333333333331</v>
      </c>
      <c r="G89">
        <v>3</v>
      </c>
      <c r="H89" s="6">
        <f>FLOOR(tblPivotData[[#This Row],[Time]],Summary!$B$6/1440)</f>
        <v>0.36458333333333331</v>
      </c>
      <c r="I89" s="49">
        <f>INDEX(PeakCalc!$L$10:$L$303,MATCH(tblPivotData[[#This Row],[Time]],PeakCalc!$G$10:$G$303,0))</f>
        <v>1</v>
      </c>
    </row>
    <row r="90" spans="1:9" x14ac:dyDescent="0.25">
      <c r="A90" t="s">
        <v>93</v>
      </c>
      <c r="B90" t="s">
        <v>97</v>
      </c>
      <c r="C90" t="s">
        <v>94</v>
      </c>
      <c r="D90" t="s">
        <v>90</v>
      </c>
      <c r="E90" t="s">
        <v>91</v>
      </c>
      <c r="F90" s="6">
        <v>0.54166666666666663</v>
      </c>
      <c r="G90">
        <v>3</v>
      </c>
      <c r="H90" s="6">
        <f>FLOOR(tblPivotData[[#This Row],[Time]],Summary!$B$6/1440)</f>
        <v>0.54166666666666663</v>
      </c>
      <c r="I90" s="49">
        <f>INDEX(PeakCalc!$L$10:$L$303,MATCH(tblPivotData[[#This Row],[Time]],PeakCalc!$G$10:$G$303,0))</f>
        <v>1</v>
      </c>
    </row>
    <row r="91" spans="1:9" x14ac:dyDescent="0.25">
      <c r="A91" t="s">
        <v>93</v>
      </c>
      <c r="B91" t="s">
        <v>97</v>
      </c>
      <c r="C91" t="s">
        <v>94</v>
      </c>
      <c r="D91" t="s">
        <v>90</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97</v>
      </c>
      <c r="C92" t="s">
        <v>94</v>
      </c>
      <c r="D92" t="s">
        <v>90</v>
      </c>
      <c r="E92" t="s">
        <v>91</v>
      </c>
      <c r="F92" s="6">
        <v>0.5625</v>
      </c>
      <c r="G92">
        <v>2</v>
      </c>
      <c r="H92" s="6">
        <f>FLOOR(tblPivotData[[#This Row],[Time]],Summary!$B$6/1440)</f>
        <v>0.5625</v>
      </c>
      <c r="I92" s="49">
        <f>INDEX(PeakCalc!$L$10:$L$303,MATCH(tblPivotData[[#This Row],[Time]],PeakCalc!$G$10:$G$303,0))</f>
        <v>1</v>
      </c>
    </row>
    <row r="93" spans="1:9" x14ac:dyDescent="0.25">
      <c r="A93" t="s">
        <v>93</v>
      </c>
      <c r="B93" t="s">
        <v>97</v>
      </c>
      <c r="C93" t="s">
        <v>94</v>
      </c>
      <c r="D93" t="s">
        <v>90</v>
      </c>
      <c r="E93" t="s">
        <v>91</v>
      </c>
      <c r="F93" s="6">
        <v>0.57291666666666663</v>
      </c>
      <c r="G93">
        <v>3</v>
      </c>
      <c r="H93" s="6">
        <f>FLOOR(tblPivotData[[#This Row],[Time]],Summary!$B$6/1440)</f>
        <v>0.57291666666666663</v>
      </c>
      <c r="I93" s="49">
        <f>INDEX(PeakCalc!$L$10:$L$303,MATCH(tblPivotData[[#This Row],[Time]],PeakCalc!$G$10:$G$303,0))</f>
        <v>1</v>
      </c>
    </row>
    <row r="94" spans="1:9" x14ac:dyDescent="0.25">
      <c r="A94" t="s">
        <v>93</v>
      </c>
      <c r="B94" t="s">
        <v>97</v>
      </c>
      <c r="C94" t="s">
        <v>94</v>
      </c>
      <c r="D94" t="s">
        <v>90</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94</v>
      </c>
      <c r="D95" t="s">
        <v>90</v>
      </c>
      <c r="E95" t="s">
        <v>44</v>
      </c>
      <c r="F95" s="6">
        <v>0.67708333333333337</v>
      </c>
      <c r="G95">
        <v>2</v>
      </c>
      <c r="H95" s="6">
        <f>FLOOR(tblPivotData[[#This Row],[Time]],Summary!$B$6/1440)</f>
        <v>0.67708333333333326</v>
      </c>
      <c r="I95" s="49">
        <f>INDEX(PeakCalc!$L$10:$L$303,MATCH(tblPivotData[[#This Row],[Time]],PeakCalc!$G$10:$G$303,0))</f>
        <v>0</v>
      </c>
    </row>
    <row r="96" spans="1:9" x14ac:dyDescent="0.25">
      <c r="A96" t="s">
        <v>93</v>
      </c>
      <c r="B96" t="s">
        <v>97</v>
      </c>
      <c r="C96" t="s">
        <v>94</v>
      </c>
      <c r="D96" t="s">
        <v>90</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94</v>
      </c>
      <c r="D97" t="s">
        <v>90</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94</v>
      </c>
      <c r="D98" t="s">
        <v>90</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94</v>
      </c>
      <c r="D99" t="s">
        <v>90</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94</v>
      </c>
      <c r="D100" t="s">
        <v>90</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97</v>
      </c>
      <c r="C101" t="s">
        <v>94</v>
      </c>
      <c r="D101" t="s">
        <v>90</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94</v>
      </c>
      <c r="D102" t="s">
        <v>88</v>
      </c>
      <c r="E102" t="s">
        <v>43</v>
      </c>
      <c r="F102" s="6">
        <v>0.29166666666666669</v>
      </c>
      <c r="G102">
        <v>3</v>
      </c>
      <c r="H102" s="6">
        <f>FLOOR(tblPivotData[[#This Row],[Time]],Summary!$B$6/1440)</f>
        <v>0.29166666666666663</v>
      </c>
      <c r="I102" s="49">
        <f>INDEX(PeakCalc!$L$10:$L$303,MATCH(tblPivotData[[#This Row],[Time]],PeakCalc!$G$10:$G$303,0))</f>
        <v>0</v>
      </c>
    </row>
    <row r="103" spans="1:9" x14ac:dyDescent="0.25">
      <c r="A103" t="s">
        <v>93</v>
      </c>
      <c r="B103" t="s">
        <v>97</v>
      </c>
      <c r="C103" t="s">
        <v>94</v>
      </c>
      <c r="D103" t="s">
        <v>88</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94</v>
      </c>
      <c r="D104" t="s">
        <v>88</v>
      </c>
      <c r="E104" t="s">
        <v>43</v>
      </c>
      <c r="F104" s="6">
        <v>0.3125</v>
      </c>
      <c r="G104">
        <v>1</v>
      </c>
      <c r="H104" s="6">
        <f>FLOOR(tblPivotData[[#This Row],[Time]],Summary!$B$6/1440)</f>
        <v>0.3125</v>
      </c>
      <c r="I104" s="49">
        <f>INDEX(PeakCalc!$L$10:$L$303,MATCH(tblPivotData[[#This Row],[Time]],PeakCalc!$G$10:$G$303,0))</f>
        <v>0</v>
      </c>
    </row>
    <row r="105" spans="1:9" x14ac:dyDescent="0.25">
      <c r="A105" t="s">
        <v>93</v>
      </c>
      <c r="B105" t="s">
        <v>97</v>
      </c>
      <c r="C105" t="s">
        <v>94</v>
      </c>
      <c r="D105" t="s">
        <v>88</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97</v>
      </c>
      <c r="C106" t="s">
        <v>94</v>
      </c>
      <c r="D106" t="s">
        <v>88</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97</v>
      </c>
      <c r="C107" t="s">
        <v>94</v>
      </c>
      <c r="D107" t="s">
        <v>88</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97</v>
      </c>
      <c r="C108" t="s">
        <v>94</v>
      </c>
      <c r="D108" t="s">
        <v>88</v>
      </c>
      <c r="E108" t="s">
        <v>43</v>
      </c>
      <c r="F108" s="6">
        <v>0.35416666666666669</v>
      </c>
      <c r="G108">
        <v>15</v>
      </c>
      <c r="H108" s="6">
        <f>FLOOR(tblPivotData[[#This Row],[Time]],Summary!$B$6/1440)</f>
        <v>0.35416666666666663</v>
      </c>
      <c r="I108" s="49">
        <f>INDEX(PeakCalc!$L$10:$L$303,MATCH(tblPivotData[[#This Row],[Time]],PeakCalc!$G$10:$G$303,0))</f>
        <v>1</v>
      </c>
    </row>
    <row r="109" spans="1:9" x14ac:dyDescent="0.25">
      <c r="A109" t="s">
        <v>93</v>
      </c>
      <c r="B109" t="s">
        <v>97</v>
      </c>
      <c r="C109" t="s">
        <v>94</v>
      </c>
      <c r="D109" t="s">
        <v>88</v>
      </c>
      <c r="E109" t="s">
        <v>43</v>
      </c>
      <c r="F109" s="6">
        <v>0.36458333333333331</v>
      </c>
      <c r="G109">
        <v>3</v>
      </c>
      <c r="H109" s="6">
        <f>FLOOR(tblPivotData[[#This Row],[Time]],Summary!$B$6/1440)</f>
        <v>0.36458333333333331</v>
      </c>
      <c r="I109" s="49">
        <f>INDEX(PeakCalc!$L$10:$L$303,MATCH(tblPivotData[[#This Row],[Time]],PeakCalc!$G$10:$G$303,0))</f>
        <v>1</v>
      </c>
    </row>
    <row r="110" spans="1:9" x14ac:dyDescent="0.25">
      <c r="A110" t="s">
        <v>93</v>
      </c>
      <c r="B110" t="s">
        <v>97</v>
      </c>
      <c r="C110" t="s">
        <v>94</v>
      </c>
      <c r="D110" t="s">
        <v>88</v>
      </c>
      <c r="E110" t="s">
        <v>91</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97</v>
      </c>
      <c r="C111" t="s">
        <v>94</v>
      </c>
      <c r="D111" t="s">
        <v>88</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97</v>
      </c>
      <c r="C112" t="s">
        <v>94</v>
      </c>
      <c r="D112" t="s">
        <v>88</v>
      </c>
      <c r="E112" t="s">
        <v>91</v>
      </c>
      <c r="F112" s="6">
        <v>0.5625</v>
      </c>
      <c r="G112">
        <v>1</v>
      </c>
      <c r="H112" s="6">
        <f>FLOOR(tblPivotData[[#This Row],[Time]],Summary!$B$6/1440)</f>
        <v>0.5625</v>
      </c>
      <c r="I112" s="49">
        <f>INDEX(PeakCalc!$L$10:$L$303,MATCH(tblPivotData[[#This Row],[Time]],PeakCalc!$G$10:$G$303,0))</f>
        <v>1</v>
      </c>
    </row>
    <row r="113" spans="1:9" x14ac:dyDescent="0.25">
      <c r="A113" t="s">
        <v>93</v>
      </c>
      <c r="B113" t="s">
        <v>97</v>
      </c>
      <c r="C113" t="s">
        <v>94</v>
      </c>
      <c r="D113" t="s">
        <v>88</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94</v>
      </c>
      <c r="D114" t="s">
        <v>88</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97</v>
      </c>
      <c r="C115" t="s">
        <v>94</v>
      </c>
      <c r="D115" t="s">
        <v>88</v>
      </c>
      <c r="E115" t="s">
        <v>44</v>
      </c>
      <c r="F115" s="6">
        <v>0.67708333333333337</v>
      </c>
      <c r="G115">
        <v>2</v>
      </c>
      <c r="H115" s="6">
        <f>FLOOR(tblPivotData[[#This Row],[Time]],Summary!$B$6/1440)</f>
        <v>0.67708333333333326</v>
      </c>
      <c r="I115" s="49">
        <f>INDEX(PeakCalc!$L$10:$L$303,MATCH(tblPivotData[[#This Row],[Time]],PeakCalc!$G$10:$G$303,0))</f>
        <v>0</v>
      </c>
    </row>
    <row r="116" spans="1:9" x14ac:dyDescent="0.25">
      <c r="A116" t="s">
        <v>93</v>
      </c>
      <c r="B116" t="s">
        <v>97</v>
      </c>
      <c r="C116" t="s">
        <v>94</v>
      </c>
      <c r="D116" t="s">
        <v>88</v>
      </c>
      <c r="E116" t="s">
        <v>44</v>
      </c>
      <c r="F116" s="6">
        <v>0.6875</v>
      </c>
      <c r="G116">
        <v>4</v>
      </c>
      <c r="H116" s="6">
        <f>FLOOR(tblPivotData[[#This Row],[Time]],Summary!$B$6/1440)</f>
        <v>0.6875</v>
      </c>
      <c r="I116" s="49">
        <f>INDEX(PeakCalc!$L$10:$L$303,MATCH(tblPivotData[[#This Row],[Time]],PeakCalc!$G$10:$G$303,0))</f>
        <v>0</v>
      </c>
    </row>
    <row r="117" spans="1:9" x14ac:dyDescent="0.25">
      <c r="A117" t="s">
        <v>93</v>
      </c>
      <c r="B117" t="s">
        <v>97</v>
      </c>
      <c r="C117" t="s">
        <v>94</v>
      </c>
      <c r="D117" t="s">
        <v>88</v>
      </c>
      <c r="E117" t="s">
        <v>44</v>
      </c>
      <c r="F117" s="6">
        <v>0.69791666666666663</v>
      </c>
      <c r="G117">
        <v>5</v>
      </c>
      <c r="H117" s="6">
        <f>FLOOR(tblPivotData[[#This Row],[Time]],Summary!$B$6/1440)</f>
        <v>0.69791666666666663</v>
      </c>
      <c r="I117" s="49">
        <f>INDEX(PeakCalc!$L$10:$L$303,MATCH(tblPivotData[[#This Row],[Time]],PeakCalc!$G$10:$G$303,0))</f>
        <v>1</v>
      </c>
    </row>
    <row r="118" spans="1:9" x14ac:dyDescent="0.25">
      <c r="A118" t="s">
        <v>93</v>
      </c>
      <c r="B118" t="s">
        <v>97</v>
      </c>
      <c r="C118" t="s">
        <v>94</v>
      </c>
      <c r="D118" t="s">
        <v>88</v>
      </c>
      <c r="E118" t="s">
        <v>44</v>
      </c>
      <c r="F118" s="6">
        <v>0.70833333333333337</v>
      </c>
      <c r="G118">
        <v>5</v>
      </c>
      <c r="H118" s="6">
        <f>FLOOR(tblPivotData[[#This Row],[Time]],Summary!$B$6/1440)</f>
        <v>0.70833333333333326</v>
      </c>
      <c r="I118" s="49">
        <f>INDEX(PeakCalc!$L$10:$L$303,MATCH(tblPivotData[[#This Row],[Time]],PeakCalc!$G$10:$G$303,0))</f>
        <v>1</v>
      </c>
    </row>
    <row r="119" spans="1:9" x14ac:dyDescent="0.25">
      <c r="A119" t="s">
        <v>93</v>
      </c>
      <c r="B119" t="s">
        <v>97</v>
      </c>
      <c r="C119" t="s">
        <v>94</v>
      </c>
      <c r="D119" t="s">
        <v>88</v>
      </c>
      <c r="E119" t="s">
        <v>44</v>
      </c>
      <c r="F119" s="6">
        <v>0.71875</v>
      </c>
      <c r="G119">
        <v>5</v>
      </c>
      <c r="H119" s="6">
        <f>FLOOR(tblPivotData[[#This Row],[Time]],Summary!$B$6/1440)</f>
        <v>0.71875</v>
      </c>
      <c r="I119" s="49">
        <f>INDEX(PeakCalc!$L$10:$L$303,MATCH(tblPivotData[[#This Row],[Time]],PeakCalc!$G$10:$G$303,0))</f>
        <v>1</v>
      </c>
    </row>
    <row r="120" spans="1:9" x14ac:dyDescent="0.25">
      <c r="A120" t="s">
        <v>93</v>
      </c>
      <c r="B120" t="s">
        <v>97</v>
      </c>
      <c r="C120" t="s">
        <v>94</v>
      </c>
      <c r="D120" t="s">
        <v>88</v>
      </c>
      <c r="E120" t="s">
        <v>44</v>
      </c>
      <c r="F120" s="6">
        <v>0.72916666666666663</v>
      </c>
      <c r="G120">
        <v>10</v>
      </c>
      <c r="H120" s="6">
        <f>FLOOR(tblPivotData[[#This Row],[Time]],Summary!$B$6/1440)</f>
        <v>0.72916666666666663</v>
      </c>
      <c r="I120" s="49">
        <f>INDEX(PeakCalc!$L$10:$L$303,MATCH(tblPivotData[[#This Row],[Time]],PeakCalc!$G$10:$G$303,0))</f>
        <v>1</v>
      </c>
    </row>
    <row r="121" spans="1:9" x14ac:dyDescent="0.25">
      <c r="A121" t="s">
        <v>93</v>
      </c>
      <c r="B121" t="s">
        <v>97</v>
      </c>
      <c r="C121" t="s">
        <v>94</v>
      </c>
      <c r="D121" t="s">
        <v>88</v>
      </c>
      <c r="E121" t="s">
        <v>44</v>
      </c>
      <c r="F121" s="6">
        <v>0.73958333333333337</v>
      </c>
      <c r="G121">
        <v>5</v>
      </c>
      <c r="H121" s="6">
        <f>FLOOR(tblPivotData[[#This Row],[Time]],Summary!$B$6/1440)</f>
        <v>0.73958333333333326</v>
      </c>
      <c r="I121" s="49">
        <f>INDEX(PeakCalc!$L$10:$L$303,MATCH(tblPivotData[[#This Row],[Time]],PeakCalc!$G$10:$G$303,0))</f>
        <v>0</v>
      </c>
    </row>
    <row r="122" spans="1:9" x14ac:dyDescent="0.25">
      <c r="A122" t="s">
        <v>96</v>
      </c>
      <c r="B122" t="s">
        <v>98</v>
      </c>
      <c r="C122" t="s">
        <v>94</v>
      </c>
      <c r="D122" t="s">
        <v>79</v>
      </c>
      <c r="E122" t="s">
        <v>43</v>
      </c>
      <c r="F122" s="6">
        <v>0.29166666666666669</v>
      </c>
      <c r="G122">
        <v>14</v>
      </c>
      <c r="H122" s="6">
        <f>FLOOR(tblPivotData[[#This Row],[Time]],Summary!$B$6/1440)</f>
        <v>0.29166666666666663</v>
      </c>
      <c r="I122" s="49">
        <f>INDEX(PeakCalc!$L$10:$L$303,MATCH(tblPivotData[[#This Row],[Time]],PeakCalc!$G$10:$G$303,0))</f>
        <v>0</v>
      </c>
    </row>
    <row r="123" spans="1:9" x14ac:dyDescent="0.25">
      <c r="A123" t="s">
        <v>96</v>
      </c>
      <c r="B123" t="s">
        <v>98</v>
      </c>
      <c r="C123" t="s">
        <v>94</v>
      </c>
      <c r="D123" t="s">
        <v>79</v>
      </c>
      <c r="E123" t="s">
        <v>43</v>
      </c>
      <c r="F123" s="6">
        <v>0.30208333333333331</v>
      </c>
      <c r="G123">
        <v>16</v>
      </c>
      <c r="H123" s="6">
        <f>FLOOR(tblPivotData[[#This Row],[Time]],Summary!$B$6/1440)</f>
        <v>0.30208333333333331</v>
      </c>
      <c r="I123" s="49">
        <f>INDEX(PeakCalc!$L$10:$L$303,MATCH(tblPivotData[[#This Row],[Time]],PeakCalc!$G$10:$G$303,0))</f>
        <v>0</v>
      </c>
    </row>
    <row r="124" spans="1:9" x14ac:dyDescent="0.25">
      <c r="A124" t="s">
        <v>96</v>
      </c>
      <c r="B124" t="s">
        <v>98</v>
      </c>
      <c r="C124" t="s">
        <v>94</v>
      </c>
      <c r="D124" t="s">
        <v>79</v>
      </c>
      <c r="E124" t="s">
        <v>43</v>
      </c>
      <c r="F124" s="6">
        <v>0.3125</v>
      </c>
      <c r="G124">
        <v>21</v>
      </c>
      <c r="H124" s="6">
        <f>FLOOR(tblPivotData[[#This Row],[Time]],Summary!$B$6/1440)</f>
        <v>0.3125</v>
      </c>
      <c r="I124" s="49">
        <f>INDEX(PeakCalc!$L$10:$L$303,MATCH(tblPivotData[[#This Row],[Time]],PeakCalc!$G$10:$G$303,0))</f>
        <v>0</v>
      </c>
    </row>
    <row r="125" spans="1:9" x14ac:dyDescent="0.25">
      <c r="A125" t="s">
        <v>96</v>
      </c>
      <c r="B125" t="s">
        <v>98</v>
      </c>
      <c r="C125" t="s">
        <v>94</v>
      </c>
      <c r="D125" t="s">
        <v>79</v>
      </c>
      <c r="E125" t="s">
        <v>43</v>
      </c>
      <c r="F125" s="6">
        <v>0.32291666666666669</v>
      </c>
      <c r="G125">
        <v>19</v>
      </c>
      <c r="H125" s="6">
        <f>FLOOR(tblPivotData[[#This Row],[Time]],Summary!$B$6/1440)</f>
        <v>0.32291666666666663</v>
      </c>
      <c r="I125" s="49">
        <f>INDEX(PeakCalc!$L$10:$L$303,MATCH(tblPivotData[[#This Row],[Time]],PeakCalc!$G$10:$G$303,0))</f>
        <v>0</v>
      </c>
    </row>
    <row r="126" spans="1:9" x14ac:dyDescent="0.25">
      <c r="A126" t="s">
        <v>96</v>
      </c>
      <c r="B126" t="s">
        <v>98</v>
      </c>
      <c r="C126" t="s">
        <v>94</v>
      </c>
      <c r="D126" t="s">
        <v>79</v>
      </c>
      <c r="E126" t="s">
        <v>43</v>
      </c>
      <c r="F126" s="6">
        <v>0.33333333333333331</v>
      </c>
      <c r="G126">
        <v>15</v>
      </c>
      <c r="H126" s="6">
        <f>FLOOR(tblPivotData[[#This Row],[Time]],Summary!$B$6/1440)</f>
        <v>0.33333333333333331</v>
      </c>
      <c r="I126" s="49">
        <f>INDEX(PeakCalc!$L$10:$L$303,MATCH(tblPivotData[[#This Row],[Time]],PeakCalc!$G$10:$G$303,0))</f>
        <v>1</v>
      </c>
    </row>
    <row r="127" spans="1:9" x14ac:dyDescent="0.25">
      <c r="A127" t="s">
        <v>96</v>
      </c>
      <c r="B127" t="s">
        <v>98</v>
      </c>
      <c r="C127" t="s">
        <v>94</v>
      </c>
      <c r="D127" t="s">
        <v>79</v>
      </c>
      <c r="E127" t="s">
        <v>43</v>
      </c>
      <c r="F127" s="6">
        <v>0.34375</v>
      </c>
      <c r="G127">
        <v>36</v>
      </c>
      <c r="H127" s="6">
        <f>FLOOR(tblPivotData[[#This Row],[Time]],Summary!$B$6/1440)</f>
        <v>0.34375</v>
      </c>
      <c r="I127" s="49">
        <f>INDEX(PeakCalc!$L$10:$L$303,MATCH(tblPivotData[[#This Row],[Time]],PeakCalc!$G$10:$G$303,0))</f>
        <v>1</v>
      </c>
    </row>
    <row r="128" spans="1:9" x14ac:dyDescent="0.25">
      <c r="A128" t="s">
        <v>96</v>
      </c>
      <c r="B128" t="s">
        <v>98</v>
      </c>
      <c r="C128" t="s">
        <v>94</v>
      </c>
      <c r="D128" t="s">
        <v>79</v>
      </c>
      <c r="E128" t="s">
        <v>43</v>
      </c>
      <c r="F128" s="6">
        <v>0.35416666666666669</v>
      </c>
      <c r="G128">
        <v>18</v>
      </c>
      <c r="H128" s="6">
        <f>FLOOR(tblPivotData[[#This Row],[Time]],Summary!$B$6/1440)</f>
        <v>0.35416666666666663</v>
      </c>
      <c r="I128" s="49">
        <f>INDEX(PeakCalc!$L$10:$L$303,MATCH(tblPivotData[[#This Row],[Time]],PeakCalc!$G$10:$G$303,0))</f>
        <v>1</v>
      </c>
    </row>
    <row r="129" spans="1:9" x14ac:dyDescent="0.25">
      <c r="A129" t="s">
        <v>96</v>
      </c>
      <c r="B129" t="s">
        <v>98</v>
      </c>
      <c r="C129" t="s">
        <v>94</v>
      </c>
      <c r="D129" t="s">
        <v>79</v>
      </c>
      <c r="E129" t="s">
        <v>43</v>
      </c>
      <c r="F129" s="6">
        <v>0.36458333333333331</v>
      </c>
      <c r="G129">
        <v>11</v>
      </c>
      <c r="H129" s="6">
        <f>FLOOR(tblPivotData[[#This Row],[Time]],Summary!$B$6/1440)</f>
        <v>0.36458333333333331</v>
      </c>
      <c r="I129" s="49">
        <f>INDEX(PeakCalc!$L$10:$L$303,MATCH(tblPivotData[[#This Row],[Time]],PeakCalc!$G$10:$G$303,0))</f>
        <v>1</v>
      </c>
    </row>
    <row r="130" spans="1:9" x14ac:dyDescent="0.25">
      <c r="A130" t="s">
        <v>96</v>
      </c>
      <c r="B130" t="s">
        <v>98</v>
      </c>
      <c r="C130" t="s">
        <v>94</v>
      </c>
      <c r="D130" t="s">
        <v>79</v>
      </c>
      <c r="E130" t="s">
        <v>91</v>
      </c>
      <c r="F130" s="6">
        <v>0.54166666666666663</v>
      </c>
      <c r="G130">
        <v>7</v>
      </c>
      <c r="H130" s="6">
        <f>FLOOR(tblPivotData[[#This Row],[Time]],Summary!$B$6/1440)</f>
        <v>0.54166666666666663</v>
      </c>
      <c r="I130" s="49">
        <f>INDEX(PeakCalc!$L$10:$L$303,MATCH(tblPivotData[[#This Row],[Time]],PeakCalc!$G$10:$G$303,0))</f>
        <v>1</v>
      </c>
    </row>
    <row r="131" spans="1:9" x14ac:dyDescent="0.25">
      <c r="A131" t="s">
        <v>96</v>
      </c>
      <c r="B131" t="s">
        <v>98</v>
      </c>
      <c r="C131" t="s">
        <v>94</v>
      </c>
      <c r="D131" t="s">
        <v>79</v>
      </c>
      <c r="E131" t="s">
        <v>91</v>
      </c>
      <c r="F131" s="6">
        <v>0.55208333333333337</v>
      </c>
      <c r="G131">
        <v>9</v>
      </c>
      <c r="H131" s="6">
        <f>FLOOR(tblPivotData[[#This Row],[Time]],Summary!$B$6/1440)</f>
        <v>0.55208333333333326</v>
      </c>
      <c r="I131" s="49">
        <f>INDEX(PeakCalc!$L$10:$L$303,MATCH(tblPivotData[[#This Row],[Time]],PeakCalc!$G$10:$G$303,0))</f>
        <v>1</v>
      </c>
    </row>
    <row r="132" spans="1:9" x14ac:dyDescent="0.25">
      <c r="A132" t="s">
        <v>96</v>
      </c>
      <c r="B132" t="s">
        <v>98</v>
      </c>
      <c r="C132" t="s">
        <v>94</v>
      </c>
      <c r="D132" t="s">
        <v>79</v>
      </c>
      <c r="E132" t="s">
        <v>91</v>
      </c>
      <c r="F132" s="6">
        <v>0.5625</v>
      </c>
      <c r="G132">
        <v>8</v>
      </c>
      <c r="H132" s="6">
        <f>FLOOR(tblPivotData[[#This Row],[Time]],Summary!$B$6/1440)</f>
        <v>0.5625</v>
      </c>
      <c r="I132" s="49">
        <f>INDEX(PeakCalc!$L$10:$L$303,MATCH(tblPivotData[[#This Row],[Time]],PeakCalc!$G$10:$G$303,0))</f>
        <v>1</v>
      </c>
    </row>
    <row r="133" spans="1:9" x14ac:dyDescent="0.25">
      <c r="A133" t="s">
        <v>96</v>
      </c>
      <c r="B133" t="s">
        <v>98</v>
      </c>
      <c r="C133" t="s">
        <v>94</v>
      </c>
      <c r="D133" t="s">
        <v>79</v>
      </c>
      <c r="E133" t="s">
        <v>91</v>
      </c>
      <c r="F133" s="6">
        <v>0.57291666666666663</v>
      </c>
      <c r="G133">
        <v>10</v>
      </c>
      <c r="H133" s="6">
        <f>FLOOR(tblPivotData[[#This Row],[Time]],Summary!$B$6/1440)</f>
        <v>0.57291666666666663</v>
      </c>
      <c r="I133" s="49">
        <f>INDEX(PeakCalc!$L$10:$L$303,MATCH(tblPivotData[[#This Row],[Time]],PeakCalc!$G$10:$G$303,0))</f>
        <v>1</v>
      </c>
    </row>
    <row r="134" spans="1:9" x14ac:dyDescent="0.25">
      <c r="A134" t="s">
        <v>96</v>
      </c>
      <c r="B134" t="s">
        <v>98</v>
      </c>
      <c r="C134" t="s">
        <v>94</v>
      </c>
      <c r="D134" t="s">
        <v>79</v>
      </c>
      <c r="E134" t="s">
        <v>44</v>
      </c>
      <c r="F134" s="6">
        <v>0.66666666666666663</v>
      </c>
      <c r="G134">
        <v>6</v>
      </c>
      <c r="H134" s="6">
        <f>FLOOR(tblPivotData[[#This Row],[Time]],Summary!$B$6/1440)</f>
        <v>0.66666666666666663</v>
      </c>
      <c r="I134" s="49">
        <f>INDEX(PeakCalc!$L$10:$L$303,MATCH(tblPivotData[[#This Row],[Time]],PeakCalc!$G$10:$G$303,0))</f>
        <v>0</v>
      </c>
    </row>
    <row r="135" spans="1:9" x14ac:dyDescent="0.25">
      <c r="A135" t="s">
        <v>96</v>
      </c>
      <c r="B135" t="s">
        <v>98</v>
      </c>
      <c r="C135" t="s">
        <v>94</v>
      </c>
      <c r="D135" t="s">
        <v>79</v>
      </c>
      <c r="E135" t="s">
        <v>44</v>
      </c>
      <c r="F135" s="6">
        <v>0.67708333333333337</v>
      </c>
      <c r="G135">
        <v>23</v>
      </c>
      <c r="H135" s="6">
        <f>FLOOR(tblPivotData[[#This Row],[Time]],Summary!$B$6/1440)</f>
        <v>0.67708333333333326</v>
      </c>
      <c r="I135" s="49">
        <f>INDEX(PeakCalc!$L$10:$L$303,MATCH(tblPivotData[[#This Row],[Time]],PeakCalc!$G$10:$G$303,0))</f>
        <v>0</v>
      </c>
    </row>
    <row r="136" spans="1:9" x14ac:dyDescent="0.25">
      <c r="A136" t="s">
        <v>96</v>
      </c>
      <c r="B136" t="s">
        <v>98</v>
      </c>
      <c r="C136" t="s">
        <v>94</v>
      </c>
      <c r="D136" t="s">
        <v>79</v>
      </c>
      <c r="E136" t="s">
        <v>44</v>
      </c>
      <c r="F136" s="6">
        <v>0.6875</v>
      </c>
      <c r="G136">
        <v>12</v>
      </c>
      <c r="H136" s="6">
        <f>FLOOR(tblPivotData[[#This Row],[Time]],Summary!$B$6/1440)</f>
        <v>0.6875</v>
      </c>
      <c r="I136" s="49">
        <f>INDEX(PeakCalc!$L$10:$L$303,MATCH(tblPivotData[[#This Row],[Time]],PeakCalc!$G$10:$G$303,0))</f>
        <v>0</v>
      </c>
    </row>
    <row r="137" spans="1:9" x14ac:dyDescent="0.25">
      <c r="A137" t="s">
        <v>96</v>
      </c>
      <c r="B137" t="s">
        <v>98</v>
      </c>
      <c r="C137" t="s">
        <v>94</v>
      </c>
      <c r="D137" t="s">
        <v>79</v>
      </c>
      <c r="E137" t="s">
        <v>44</v>
      </c>
      <c r="F137" s="6">
        <v>0.69791666666666663</v>
      </c>
      <c r="G137">
        <v>13</v>
      </c>
      <c r="H137" s="6">
        <f>FLOOR(tblPivotData[[#This Row],[Time]],Summary!$B$6/1440)</f>
        <v>0.69791666666666663</v>
      </c>
      <c r="I137" s="49">
        <f>INDEX(PeakCalc!$L$10:$L$303,MATCH(tblPivotData[[#This Row],[Time]],PeakCalc!$G$10:$G$303,0))</f>
        <v>1</v>
      </c>
    </row>
    <row r="138" spans="1:9" x14ac:dyDescent="0.25">
      <c r="A138" t="s">
        <v>96</v>
      </c>
      <c r="B138" t="s">
        <v>98</v>
      </c>
      <c r="C138" t="s">
        <v>94</v>
      </c>
      <c r="D138" t="s">
        <v>79</v>
      </c>
      <c r="E138" t="s">
        <v>44</v>
      </c>
      <c r="F138" s="6">
        <v>0.70833333333333337</v>
      </c>
      <c r="G138">
        <v>16</v>
      </c>
      <c r="H138" s="6">
        <f>FLOOR(tblPivotData[[#This Row],[Time]],Summary!$B$6/1440)</f>
        <v>0.70833333333333326</v>
      </c>
      <c r="I138" s="49">
        <f>INDEX(PeakCalc!$L$10:$L$303,MATCH(tblPivotData[[#This Row],[Time]],PeakCalc!$G$10:$G$303,0))</f>
        <v>1</v>
      </c>
    </row>
    <row r="139" spans="1:9" x14ac:dyDescent="0.25">
      <c r="A139" t="s">
        <v>96</v>
      </c>
      <c r="B139" t="s">
        <v>98</v>
      </c>
      <c r="C139" t="s">
        <v>94</v>
      </c>
      <c r="D139" t="s">
        <v>79</v>
      </c>
      <c r="E139" t="s">
        <v>44</v>
      </c>
      <c r="F139" s="6">
        <v>0.71875</v>
      </c>
      <c r="G139">
        <v>10</v>
      </c>
      <c r="H139" s="6">
        <f>FLOOR(tblPivotData[[#This Row],[Time]],Summary!$B$6/1440)</f>
        <v>0.71875</v>
      </c>
      <c r="I139" s="49">
        <f>INDEX(PeakCalc!$L$10:$L$303,MATCH(tblPivotData[[#This Row],[Time]],PeakCalc!$G$10:$G$303,0))</f>
        <v>1</v>
      </c>
    </row>
    <row r="140" spans="1:9" x14ac:dyDescent="0.25">
      <c r="A140" t="s">
        <v>96</v>
      </c>
      <c r="B140" t="s">
        <v>98</v>
      </c>
      <c r="C140" t="s">
        <v>94</v>
      </c>
      <c r="D140" t="s">
        <v>79</v>
      </c>
      <c r="E140" t="s">
        <v>44</v>
      </c>
      <c r="F140" s="6">
        <v>0.72916666666666663</v>
      </c>
      <c r="G140">
        <v>9</v>
      </c>
      <c r="H140" s="6">
        <f>FLOOR(tblPivotData[[#This Row],[Time]],Summary!$B$6/1440)</f>
        <v>0.72916666666666663</v>
      </c>
      <c r="I140" s="49">
        <f>INDEX(PeakCalc!$L$10:$L$303,MATCH(tblPivotData[[#This Row],[Time]],PeakCalc!$G$10:$G$303,0))</f>
        <v>1</v>
      </c>
    </row>
    <row r="141" spans="1:9" x14ac:dyDescent="0.25">
      <c r="A141" t="s">
        <v>96</v>
      </c>
      <c r="B141" t="s">
        <v>98</v>
      </c>
      <c r="C141" t="s">
        <v>94</v>
      </c>
      <c r="D141" t="s">
        <v>79</v>
      </c>
      <c r="E141" t="s">
        <v>44</v>
      </c>
      <c r="F141" s="6">
        <v>0.73958333333333337</v>
      </c>
      <c r="G141">
        <v>11</v>
      </c>
      <c r="H141" s="6">
        <f>FLOOR(tblPivotData[[#This Row],[Time]],Summary!$B$6/1440)</f>
        <v>0.73958333333333326</v>
      </c>
      <c r="I141" s="49">
        <f>INDEX(PeakCalc!$L$10:$L$303,MATCH(tblPivotData[[#This Row],[Time]],PeakCalc!$G$10:$G$303,0))</f>
        <v>0</v>
      </c>
    </row>
    <row r="142" spans="1:9" x14ac:dyDescent="0.25">
      <c r="A142" t="s">
        <v>96</v>
      </c>
      <c r="B142" t="s">
        <v>98</v>
      </c>
      <c r="C142" t="s">
        <v>94</v>
      </c>
      <c r="D142" t="s">
        <v>90</v>
      </c>
      <c r="E142" t="s">
        <v>43</v>
      </c>
      <c r="F142" s="6">
        <v>0.29166666666666669</v>
      </c>
      <c r="G142">
        <v>1</v>
      </c>
      <c r="H142" s="6">
        <f>FLOOR(tblPivotData[[#This Row],[Time]],Summary!$B$6/1440)</f>
        <v>0.29166666666666663</v>
      </c>
      <c r="I142" s="49">
        <f>INDEX(PeakCalc!$L$10:$L$303,MATCH(tblPivotData[[#This Row],[Time]],PeakCalc!$G$10:$G$303,0))</f>
        <v>0</v>
      </c>
    </row>
    <row r="143" spans="1:9" x14ac:dyDescent="0.25">
      <c r="A143" t="s">
        <v>96</v>
      </c>
      <c r="B143" t="s">
        <v>98</v>
      </c>
      <c r="C143" t="s">
        <v>94</v>
      </c>
      <c r="D143" t="s">
        <v>90</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96</v>
      </c>
      <c r="B144" t="s">
        <v>98</v>
      </c>
      <c r="C144" t="s">
        <v>94</v>
      </c>
      <c r="D144" t="s">
        <v>90</v>
      </c>
      <c r="E144" t="s">
        <v>43</v>
      </c>
      <c r="F144" s="6">
        <v>0.3125</v>
      </c>
      <c r="G144">
        <v>0</v>
      </c>
      <c r="H144" s="6">
        <f>FLOOR(tblPivotData[[#This Row],[Time]],Summary!$B$6/1440)</f>
        <v>0.3125</v>
      </c>
      <c r="I144" s="49">
        <f>INDEX(PeakCalc!$L$10:$L$303,MATCH(tblPivotData[[#This Row],[Time]],PeakCalc!$G$10:$G$303,0))</f>
        <v>0</v>
      </c>
    </row>
    <row r="145" spans="1:9" x14ac:dyDescent="0.25">
      <c r="A145" t="s">
        <v>96</v>
      </c>
      <c r="B145" t="s">
        <v>98</v>
      </c>
      <c r="C145" t="s">
        <v>94</v>
      </c>
      <c r="D145" t="s">
        <v>90</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96</v>
      </c>
      <c r="B146" t="s">
        <v>98</v>
      </c>
      <c r="C146" t="s">
        <v>94</v>
      </c>
      <c r="D146" t="s">
        <v>90</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96</v>
      </c>
      <c r="B147" t="s">
        <v>98</v>
      </c>
      <c r="C147" t="s">
        <v>94</v>
      </c>
      <c r="D147" t="s">
        <v>90</v>
      </c>
      <c r="E147" t="s">
        <v>43</v>
      </c>
      <c r="F147" s="6">
        <v>0.34375</v>
      </c>
      <c r="G147">
        <v>1</v>
      </c>
      <c r="H147" s="6">
        <f>FLOOR(tblPivotData[[#This Row],[Time]],Summary!$B$6/1440)</f>
        <v>0.34375</v>
      </c>
      <c r="I147" s="49">
        <f>INDEX(PeakCalc!$L$10:$L$303,MATCH(tblPivotData[[#This Row],[Time]],PeakCalc!$G$10:$G$303,0))</f>
        <v>1</v>
      </c>
    </row>
    <row r="148" spans="1:9" x14ac:dyDescent="0.25">
      <c r="A148" t="s">
        <v>96</v>
      </c>
      <c r="B148" t="s">
        <v>98</v>
      </c>
      <c r="C148" t="s">
        <v>94</v>
      </c>
      <c r="D148" t="s">
        <v>90</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96</v>
      </c>
      <c r="B149" t="s">
        <v>98</v>
      </c>
      <c r="C149" t="s">
        <v>94</v>
      </c>
      <c r="D149" t="s">
        <v>90</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96</v>
      </c>
      <c r="B150" t="s">
        <v>98</v>
      </c>
      <c r="C150" t="s">
        <v>94</v>
      </c>
      <c r="D150" t="s">
        <v>90</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96</v>
      </c>
      <c r="B151" t="s">
        <v>98</v>
      </c>
      <c r="C151" t="s">
        <v>94</v>
      </c>
      <c r="D151" t="s">
        <v>90</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96</v>
      </c>
      <c r="B152" t="s">
        <v>98</v>
      </c>
      <c r="C152" t="s">
        <v>94</v>
      </c>
      <c r="D152" t="s">
        <v>90</v>
      </c>
      <c r="E152" t="s">
        <v>91</v>
      </c>
      <c r="F152" s="6">
        <v>0.5625</v>
      </c>
      <c r="G152">
        <v>0</v>
      </c>
      <c r="H152" s="6">
        <f>FLOOR(tblPivotData[[#This Row],[Time]],Summary!$B$6/1440)</f>
        <v>0.5625</v>
      </c>
      <c r="I152" s="49">
        <f>INDEX(PeakCalc!$L$10:$L$303,MATCH(tblPivotData[[#This Row],[Time]],PeakCalc!$G$10:$G$303,0))</f>
        <v>1</v>
      </c>
    </row>
    <row r="153" spans="1:9" x14ac:dyDescent="0.25">
      <c r="A153" t="s">
        <v>96</v>
      </c>
      <c r="B153" t="s">
        <v>98</v>
      </c>
      <c r="C153" t="s">
        <v>94</v>
      </c>
      <c r="D153" t="s">
        <v>90</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96</v>
      </c>
      <c r="B154" t="s">
        <v>98</v>
      </c>
      <c r="C154" t="s">
        <v>94</v>
      </c>
      <c r="D154" t="s">
        <v>90</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96</v>
      </c>
      <c r="B155" t="s">
        <v>98</v>
      </c>
      <c r="C155" t="s">
        <v>94</v>
      </c>
      <c r="D155" t="s">
        <v>90</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96</v>
      </c>
      <c r="B156" t="s">
        <v>98</v>
      </c>
      <c r="C156" t="s">
        <v>94</v>
      </c>
      <c r="D156" t="s">
        <v>90</v>
      </c>
      <c r="E156" t="s">
        <v>44</v>
      </c>
      <c r="F156" s="6">
        <v>0.6875</v>
      </c>
      <c r="G156">
        <v>0</v>
      </c>
      <c r="H156" s="6">
        <f>FLOOR(tblPivotData[[#This Row],[Time]],Summary!$B$6/1440)</f>
        <v>0.6875</v>
      </c>
      <c r="I156" s="49">
        <f>INDEX(PeakCalc!$L$10:$L$303,MATCH(tblPivotData[[#This Row],[Time]],PeakCalc!$G$10:$G$303,0))</f>
        <v>0</v>
      </c>
    </row>
    <row r="157" spans="1:9" x14ac:dyDescent="0.25">
      <c r="A157" t="s">
        <v>96</v>
      </c>
      <c r="B157" t="s">
        <v>98</v>
      </c>
      <c r="C157" t="s">
        <v>94</v>
      </c>
      <c r="D157" t="s">
        <v>90</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96</v>
      </c>
      <c r="B158" t="s">
        <v>98</v>
      </c>
      <c r="C158" t="s">
        <v>94</v>
      </c>
      <c r="D158" t="s">
        <v>90</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96</v>
      </c>
      <c r="B159" t="s">
        <v>98</v>
      </c>
      <c r="C159" t="s">
        <v>94</v>
      </c>
      <c r="D159" t="s">
        <v>90</v>
      </c>
      <c r="E159" t="s">
        <v>44</v>
      </c>
      <c r="F159" s="6">
        <v>0.71875</v>
      </c>
      <c r="G159">
        <v>2</v>
      </c>
      <c r="H159" s="6">
        <f>FLOOR(tblPivotData[[#This Row],[Time]],Summary!$B$6/1440)</f>
        <v>0.71875</v>
      </c>
      <c r="I159" s="49">
        <f>INDEX(PeakCalc!$L$10:$L$303,MATCH(tblPivotData[[#This Row],[Time]],PeakCalc!$G$10:$G$303,0))</f>
        <v>1</v>
      </c>
    </row>
    <row r="160" spans="1:9" x14ac:dyDescent="0.25">
      <c r="A160" t="s">
        <v>96</v>
      </c>
      <c r="B160" t="s">
        <v>98</v>
      </c>
      <c r="C160" t="s">
        <v>94</v>
      </c>
      <c r="D160" t="s">
        <v>90</v>
      </c>
      <c r="E160" t="s">
        <v>44</v>
      </c>
      <c r="F160" s="6">
        <v>0.72916666666666663</v>
      </c>
      <c r="G160">
        <v>1</v>
      </c>
      <c r="H160" s="6">
        <f>FLOOR(tblPivotData[[#This Row],[Time]],Summary!$B$6/1440)</f>
        <v>0.72916666666666663</v>
      </c>
      <c r="I160" s="49">
        <f>INDEX(PeakCalc!$L$10:$L$303,MATCH(tblPivotData[[#This Row],[Time]],PeakCalc!$G$10:$G$303,0))</f>
        <v>1</v>
      </c>
    </row>
    <row r="161" spans="1:9" x14ac:dyDescent="0.25">
      <c r="A161" t="s">
        <v>96</v>
      </c>
      <c r="B161" t="s">
        <v>98</v>
      </c>
      <c r="C161" t="s">
        <v>94</v>
      </c>
      <c r="D161" t="s">
        <v>90</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96</v>
      </c>
      <c r="B162" t="s">
        <v>98</v>
      </c>
      <c r="C162" t="s">
        <v>94</v>
      </c>
      <c r="D162" t="s">
        <v>88</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96</v>
      </c>
      <c r="B163" t="s">
        <v>98</v>
      </c>
      <c r="C163" t="s">
        <v>94</v>
      </c>
      <c r="D163" t="s">
        <v>88</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96</v>
      </c>
      <c r="B164" t="s">
        <v>98</v>
      </c>
      <c r="C164" t="s">
        <v>94</v>
      </c>
      <c r="D164" t="s">
        <v>88</v>
      </c>
      <c r="E164" t="s">
        <v>43</v>
      </c>
      <c r="F164" s="6">
        <v>0.3125</v>
      </c>
      <c r="G164">
        <v>1</v>
      </c>
      <c r="H164" s="6">
        <f>FLOOR(tblPivotData[[#This Row],[Time]],Summary!$B$6/1440)</f>
        <v>0.3125</v>
      </c>
      <c r="I164" s="49">
        <f>INDEX(PeakCalc!$L$10:$L$303,MATCH(tblPivotData[[#This Row],[Time]],PeakCalc!$G$10:$G$303,0))</f>
        <v>0</v>
      </c>
    </row>
    <row r="165" spans="1:9" x14ac:dyDescent="0.25">
      <c r="A165" t="s">
        <v>96</v>
      </c>
      <c r="B165" t="s">
        <v>98</v>
      </c>
      <c r="C165" t="s">
        <v>94</v>
      </c>
      <c r="D165" t="s">
        <v>88</v>
      </c>
      <c r="E165" t="s">
        <v>43</v>
      </c>
      <c r="F165" s="6">
        <v>0.32291666666666669</v>
      </c>
      <c r="G165">
        <v>1</v>
      </c>
      <c r="H165" s="6">
        <f>FLOOR(tblPivotData[[#This Row],[Time]],Summary!$B$6/1440)</f>
        <v>0.32291666666666663</v>
      </c>
      <c r="I165" s="49">
        <f>INDEX(PeakCalc!$L$10:$L$303,MATCH(tblPivotData[[#This Row],[Time]],PeakCalc!$G$10:$G$303,0))</f>
        <v>0</v>
      </c>
    </row>
    <row r="166" spans="1:9" x14ac:dyDescent="0.25">
      <c r="A166" t="s">
        <v>96</v>
      </c>
      <c r="B166" t="s">
        <v>98</v>
      </c>
      <c r="C166" t="s">
        <v>94</v>
      </c>
      <c r="D166" t="s">
        <v>88</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96</v>
      </c>
      <c r="B167" t="s">
        <v>98</v>
      </c>
      <c r="C167" t="s">
        <v>94</v>
      </c>
      <c r="D167" t="s">
        <v>88</v>
      </c>
      <c r="E167" t="s">
        <v>43</v>
      </c>
      <c r="F167" s="6">
        <v>0.34375</v>
      </c>
      <c r="G167">
        <v>0</v>
      </c>
      <c r="H167" s="6">
        <f>FLOOR(tblPivotData[[#This Row],[Time]],Summary!$B$6/1440)</f>
        <v>0.34375</v>
      </c>
      <c r="I167" s="49">
        <f>INDEX(PeakCalc!$L$10:$L$303,MATCH(tblPivotData[[#This Row],[Time]],PeakCalc!$G$10:$G$303,0))</f>
        <v>1</v>
      </c>
    </row>
    <row r="168" spans="1:9" x14ac:dyDescent="0.25">
      <c r="A168" t="s">
        <v>96</v>
      </c>
      <c r="B168" t="s">
        <v>98</v>
      </c>
      <c r="C168" t="s">
        <v>94</v>
      </c>
      <c r="D168" t="s">
        <v>88</v>
      </c>
      <c r="E168" t="s">
        <v>43</v>
      </c>
      <c r="F168" s="6">
        <v>0.35416666666666669</v>
      </c>
      <c r="G168">
        <v>1</v>
      </c>
      <c r="H168" s="6">
        <f>FLOOR(tblPivotData[[#This Row],[Time]],Summary!$B$6/1440)</f>
        <v>0.35416666666666663</v>
      </c>
      <c r="I168" s="49">
        <f>INDEX(PeakCalc!$L$10:$L$303,MATCH(tblPivotData[[#This Row],[Time]],PeakCalc!$G$10:$G$303,0))</f>
        <v>1</v>
      </c>
    </row>
    <row r="169" spans="1:9" x14ac:dyDescent="0.25">
      <c r="A169" t="s">
        <v>96</v>
      </c>
      <c r="B169" t="s">
        <v>98</v>
      </c>
      <c r="C169" t="s">
        <v>94</v>
      </c>
      <c r="D169" t="s">
        <v>88</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96</v>
      </c>
      <c r="B170" t="s">
        <v>98</v>
      </c>
      <c r="C170" t="s">
        <v>94</v>
      </c>
      <c r="D170" t="s">
        <v>88</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96</v>
      </c>
      <c r="B171" t="s">
        <v>98</v>
      </c>
      <c r="C171" t="s">
        <v>94</v>
      </c>
      <c r="D171" t="s">
        <v>88</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96</v>
      </c>
      <c r="B172" t="s">
        <v>98</v>
      </c>
      <c r="C172" t="s">
        <v>94</v>
      </c>
      <c r="D172" t="s">
        <v>88</v>
      </c>
      <c r="E172" t="s">
        <v>91</v>
      </c>
      <c r="F172" s="6">
        <v>0.5625</v>
      </c>
      <c r="G172">
        <v>0</v>
      </c>
      <c r="H172" s="6">
        <f>FLOOR(tblPivotData[[#This Row],[Time]],Summary!$B$6/1440)</f>
        <v>0.5625</v>
      </c>
      <c r="I172" s="49">
        <f>INDEX(PeakCalc!$L$10:$L$303,MATCH(tblPivotData[[#This Row],[Time]],PeakCalc!$G$10:$G$303,0))</f>
        <v>1</v>
      </c>
    </row>
    <row r="173" spans="1:9" x14ac:dyDescent="0.25">
      <c r="A173" t="s">
        <v>96</v>
      </c>
      <c r="B173" t="s">
        <v>98</v>
      </c>
      <c r="C173" t="s">
        <v>94</v>
      </c>
      <c r="D173" t="s">
        <v>88</v>
      </c>
      <c r="E173" t="s">
        <v>91</v>
      </c>
      <c r="F173" s="6">
        <v>0.57291666666666663</v>
      </c>
      <c r="G173">
        <v>1</v>
      </c>
      <c r="H173" s="6">
        <f>FLOOR(tblPivotData[[#This Row],[Time]],Summary!$B$6/1440)</f>
        <v>0.57291666666666663</v>
      </c>
      <c r="I173" s="49">
        <f>INDEX(PeakCalc!$L$10:$L$303,MATCH(tblPivotData[[#This Row],[Time]],PeakCalc!$G$10:$G$303,0))</f>
        <v>1</v>
      </c>
    </row>
    <row r="174" spans="1:9" x14ac:dyDescent="0.25">
      <c r="A174" t="s">
        <v>96</v>
      </c>
      <c r="B174" t="s">
        <v>98</v>
      </c>
      <c r="C174" t="s">
        <v>94</v>
      </c>
      <c r="D174" t="s">
        <v>88</v>
      </c>
      <c r="E174" t="s">
        <v>44</v>
      </c>
      <c r="F174" s="6">
        <v>0.66666666666666663</v>
      </c>
      <c r="G174">
        <v>1</v>
      </c>
      <c r="H174" s="6">
        <f>FLOOR(tblPivotData[[#This Row],[Time]],Summary!$B$6/1440)</f>
        <v>0.66666666666666663</v>
      </c>
      <c r="I174" s="49">
        <f>INDEX(PeakCalc!$L$10:$L$303,MATCH(tblPivotData[[#This Row],[Time]],PeakCalc!$G$10:$G$303,0))</f>
        <v>0</v>
      </c>
    </row>
    <row r="175" spans="1:9" x14ac:dyDescent="0.25">
      <c r="A175" t="s">
        <v>96</v>
      </c>
      <c r="B175" t="s">
        <v>98</v>
      </c>
      <c r="C175" t="s">
        <v>94</v>
      </c>
      <c r="D175" t="s">
        <v>88</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96</v>
      </c>
      <c r="B176" t="s">
        <v>98</v>
      </c>
      <c r="C176" t="s">
        <v>94</v>
      </c>
      <c r="D176" t="s">
        <v>88</v>
      </c>
      <c r="E176" t="s">
        <v>44</v>
      </c>
      <c r="F176" s="6">
        <v>0.6875</v>
      </c>
      <c r="G176">
        <v>0</v>
      </c>
      <c r="H176" s="6">
        <f>FLOOR(tblPivotData[[#This Row],[Time]],Summary!$B$6/1440)</f>
        <v>0.6875</v>
      </c>
      <c r="I176" s="49">
        <f>INDEX(PeakCalc!$L$10:$L$303,MATCH(tblPivotData[[#This Row],[Time]],PeakCalc!$G$10:$G$303,0))</f>
        <v>0</v>
      </c>
    </row>
    <row r="177" spans="1:9" x14ac:dyDescent="0.25">
      <c r="A177" t="s">
        <v>96</v>
      </c>
      <c r="B177" t="s">
        <v>98</v>
      </c>
      <c r="C177" t="s">
        <v>94</v>
      </c>
      <c r="D177" t="s">
        <v>88</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96</v>
      </c>
      <c r="B178" t="s">
        <v>98</v>
      </c>
      <c r="C178" t="s">
        <v>94</v>
      </c>
      <c r="D178" t="s">
        <v>88</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96</v>
      </c>
      <c r="B179" t="s">
        <v>98</v>
      </c>
      <c r="C179" t="s">
        <v>94</v>
      </c>
      <c r="D179" t="s">
        <v>88</v>
      </c>
      <c r="E179" t="s">
        <v>44</v>
      </c>
      <c r="F179" s="6">
        <v>0.71875</v>
      </c>
      <c r="G179">
        <v>0</v>
      </c>
      <c r="H179" s="6">
        <f>FLOOR(tblPivotData[[#This Row],[Time]],Summary!$B$6/1440)</f>
        <v>0.71875</v>
      </c>
      <c r="I179" s="49">
        <f>INDEX(PeakCalc!$L$10:$L$303,MATCH(tblPivotData[[#This Row],[Time]],PeakCalc!$G$10:$G$303,0))</f>
        <v>1</v>
      </c>
    </row>
    <row r="180" spans="1:9" x14ac:dyDescent="0.25">
      <c r="A180" t="s">
        <v>96</v>
      </c>
      <c r="B180" t="s">
        <v>98</v>
      </c>
      <c r="C180" t="s">
        <v>94</v>
      </c>
      <c r="D180" t="s">
        <v>88</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96</v>
      </c>
      <c r="B181" t="s">
        <v>98</v>
      </c>
      <c r="C181" t="s">
        <v>94</v>
      </c>
      <c r="D181" t="s">
        <v>88</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96</v>
      </c>
      <c r="B182" t="s">
        <v>99</v>
      </c>
      <c r="C182" t="s">
        <v>93</v>
      </c>
      <c r="D182" t="s">
        <v>79</v>
      </c>
      <c r="E182" t="s">
        <v>43</v>
      </c>
      <c r="F182" s="6">
        <v>0.29166666666666669</v>
      </c>
      <c r="G182">
        <v>39</v>
      </c>
      <c r="H182" s="6">
        <f>FLOOR(tblPivotData[[#This Row],[Time]],Summary!$B$6/1440)</f>
        <v>0.29166666666666663</v>
      </c>
      <c r="I182" s="49">
        <f>INDEX(PeakCalc!$L$10:$L$303,MATCH(tblPivotData[[#This Row],[Time]],PeakCalc!$G$10:$G$303,0))</f>
        <v>0</v>
      </c>
    </row>
    <row r="183" spans="1:9" x14ac:dyDescent="0.25">
      <c r="A183" t="s">
        <v>96</v>
      </c>
      <c r="B183" t="s">
        <v>99</v>
      </c>
      <c r="C183" t="s">
        <v>93</v>
      </c>
      <c r="D183" t="s">
        <v>79</v>
      </c>
      <c r="E183" t="s">
        <v>43</v>
      </c>
      <c r="F183" s="6">
        <v>0.30208333333333331</v>
      </c>
      <c r="G183">
        <v>55</v>
      </c>
      <c r="H183" s="6">
        <f>FLOOR(tblPivotData[[#This Row],[Time]],Summary!$B$6/1440)</f>
        <v>0.30208333333333331</v>
      </c>
      <c r="I183" s="49">
        <f>INDEX(PeakCalc!$L$10:$L$303,MATCH(tblPivotData[[#This Row],[Time]],PeakCalc!$G$10:$G$303,0))</f>
        <v>0</v>
      </c>
    </row>
    <row r="184" spans="1:9" x14ac:dyDescent="0.25">
      <c r="A184" t="s">
        <v>96</v>
      </c>
      <c r="B184" t="s">
        <v>99</v>
      </c>
      <c r="C184" t="s">
        <v>93</v>
      </c>
      <c r="D184" t="s">
        <v>79</v>
      </c>
      <c r="E184" t="s">
        <v>43</v>
      </c>
      <c r="F184" s="6">
        <v>0.3125</v>
      </c>
      <c r="G184">
        <v>64</v>
      </c>
      <c r="H184" s="6">
        <f>FLOOR(tblPivotData[[#This Row],[Time]],Summary!$B$6/1440)</f>
        <v>0.3125</v>
      </c>
      <c r="I184" s="49">
        <f>INDEX(PeakCalc!$L$10:$L$303,MATCH(tblPivotData[[#This Row],[Time]],PeakCalc!$G$10:$G$303,0))</f>
        <v>0</v>
      </c>
    </row>
    <row r="185" spans="1:9" x14ac:dyDescent="0.25">
      <c r="A185" t="s">
        <v>96</v>
      </c>
      <c r="B185" t="s">
        <v>99</v>
      </c>
      <c r="C185" t="s">
        <v>93</v>
      </c>
      <c r="D185" t="s">
        <v>79</v>
      </c>
      <c r="E185" t="s">
        <v>43</v>
      </c>
      <c r="F185" s="6">
        <v>0.32291666666666669</v>
      </c>
      <c r="G185">
        <v>65</v>
      </c>
      <c r="H185" s="6">
        <f>FLOOR(tblPivotData[[#This Row],[Time]],Summary!$B$6/1440)</f>
        <v>0.32291666666666663</v>
      </c>
      <c r="I185" s="49">
        <f>INDEX(PeakCalc!$L$10:$L$303,MATCH(tblPivotData[[#This Row],[Time]],PeakCalc!$G$10:$G$303,0))</f>
        <v>0</v>
      </c>
    </row>
    <row r="186" spans="1:9" x14ac:dyDescent="0.25">
      <c r="A186" t="s">
        <v>96</v>
      </c>
      <c r="B186" t="s">
        <v>99</v>
      </c>
      <c r="C186" t="s">
        <v>93</v>
      </c>
      <c r="D186" t="s">
        <v>79</v>
      </c>
      <c r="E186" t="s">
        <v>43</v>
      </c>
      <c r="F186" s="6">
        <v>0.33333333333333331</v>
      </c>
      <c r="G186">
        <v>62</v>
      </c>
      <c r="H186" s="6">
        <f>FLOOR(tblPivotData[[#This Row],[Time]],Summary!$B$6/1440)</f>
        <v>0.33333333333333331</v>
      </c>
      <c r="I186" s="49">
        <f>INDEX(PeakCalc!$L$10:$L$303,MATCH(tblPivotData[[#This Row],[Time]],PeakCalc!$G$10:$G$303,0))</f>
        <v>1</v>
      </c>
    </row>
    <row r="187" spans="1:9" x14ac:dyDescent="0.25">
      <c r="A187" t="s">
        <v>96</v>
      </c>
      <c r="B187" t="s">
        <v>99</v>
      </c>
      <c r="C187" t="s">
        <v>93</v>
      </c>
      <c r="D187" t="s">
        <v>79</v>
      </c>
      <c r="E187" t="s">
        <v>43</v>
      </c>
      <c r="F187" s="6">
        <v>0.34375</v>
      </c>
      <c r="G187">
        <v>87</v>
      </c>
      <c r="H187" s="6">
        <f>FLOOR(tblPivotData[[#This Row],[Time]],Summary!$B$6/1440)</f>
        <v>0.34375</v>
      </c>
      <c r="I187" s="49">
        <f>INDEX(PeakCalc!$L$10:$L$303,MATCH(tblPivotData[[#This Row],[Time]],PeakCalc!$G$10:$G$303,0))</f>
        <v>1</v>
      </c>
    </row>
    <row r="188" spans="1:9" x14ac:dyDescent="0.25">
      <c r="A188" t="s">
        <v>96</v>
      </c>
      <c r="B188" t="s">
        <v>99</v>
      </c>
      <c r="C188" t="s">
        <v>93</v>
      </c>
      <c r="D188" t="s">
        <v>79</v>
      </c>
      <c r="E188" t="s">
        <v>43</v>
      </c>
      <c r="F188" s="6">
        <v>0.35416666666666669</v>
      </c>
      <c r="G188">
        <v>68</v>
      </c>
      <c r="H188" s="6">
        <f>FLOOR(tblPivotData[[#This Row],[Time]],Summary!$B$6/1440)</f>
        <v>0.35416666666666663</v>
      </c>
      <c r="I188" s="49">
        <f>INDEX(PeakCalc!$L$10:$L$303,MATCH(tblPivotData[[#This Row],[Time]],PeakCalc!$G$10:$G$303,0))</f>
        <v>1</v>
      </c>
    </row>
    <row r="189" spans="1:9" x14ac:dyDescent="0.25">
      <c r="A189" t="s">
        <v>96</v>
      </c>
      <c r="B189" t="s">
        <v>99</v>
      </c>
      <c r="C189" t="s">
        <v>93</v>
      </c>
      <c r="D189" t="s">
        <v>79</v>
      </c>
      <c r="E189" t="s">
        <v>43</v>
      </c>
      <c r="F189" s="6">
        <v>0.36458333333333331</v>
      </c>
      <c r="G189">
        <v>51</v>
      </c>
      <c r="H189" s="6">
        <f>FLOOR(tblPivotData[[#This Row],[Time]],Summary!$B$6/1440)</f>
        <v>0.36458333333333331</v>
      </c>
      <c r="I189" s="49">
        <f>INDEX(PeakCalc!$L$10:$L$303,MATCH(tblPivotData[[#This Row],[Time]],PeakCalc!$G$10:$G$303,0))</f>
        <v>1</v>
      </c>
    </row>
    <row r="190" spans="1:9" x14ac:dyDescent="0.25">
      <c r="A190" t="s">
        <v>96</v>
      </c>
      <c r="B190" t="s">
        <v>99</v>
      </c>
      <c r="C190" t="s">
        <v>93</v>
      </c>
      <c r="D190" t="s">
        <v>79</v>
      </c>
      <c r="E190" t="s">
        <v>91</v>
      </c>
      <c r="F190" s="6">
        <v>0.54166666666666663</v>
      </c>
      <c r="G190">
        <v>15</v>
      </c>
      <c r="H190" s="6">
        <f>FLOOR(tblPivotData[[#This Row],[Time]],Summary!$B$6/1440)</f>
        <v>0.54166666666666663</v>
      </c>
      <c r="I190" s="49">
        <f>INDEX(PeakCalc!$L$10:$L$303,MATCH(tblPivotData[[#This Row],[Time]],PeakCalc!$G$10:$G$303,0))</f>
        <v>1</v>
      </c>
    </row>
    <row r="191" spans="1:9" x14ac:dyDescent="0.25">
      <c r="A191" t="s">
        <v>96</v>
      </c>
      <c r="B191" t="s">
        <v>99</v>
      </c>
      <c r="C191" t="s">
        <v>93</v>
      </c>
      <c r="D191" t="s">
        <v>79</v>
      </c>
      <c r="E191" t="s">
        <v>91</v>
      </c>
      <c r="F191" s="6">
        <v>0.55208333333333337</v>
      </c>
      <c r="G191">
        <v>19</v>
      </c>
      <c r="H191" s="6">
        <f>FLOOR(tblPivotData[[#This Row],[Time]],Summary!$B$6/1440)</f>
        <v>0.55208333333333326</v>
      </c>
      <c r="I191" s="49">
        <f>INDEX(PeakCalc!$L$10:$L$303,MATCH(tblPivotData[[#This Row],[Time]],PeakCalc!$G$10:$G$303,0))</f>
        <v>1</v>
      </c>
    </row>
    <row r="192" spans="1:9" x14ac:dyDescent="0.25">
      <c r="A192" t="s">
        <v>96</v>
      </c>
      <c r="B192" t="s">
        <v>99</v>
      </c>
      <c r="C192" t="s">
        <v>93</v>
      </c>
      <c r="D192" t="s">
        <v>79</v>
      </c>
      <c r="E192" t="s">
        <v>91</v>
      </c>
      <c r="F192" s="6">
        <v>0.5625</v>
      </c>
      <c r="G192">
        <v>14</v>
      </c>
      <c r="H192" s="6">
        <f>FLOOR(tblPivotData[[#This Row],[Time]],Summary!$B$6/1440)</f>
        <v>0.5625</v>
      </c>
      <c r="I192" s="49">
        <f>INDEX(PeakCalc!$L$10:$L$303,MATCH(tblPivotData[[#This Row],[Time]],PeakCalc!$G$10:$G$303,0))</f>
        <v>1</v>
      </c>
    </row>
    <row r="193" spans="1:9" x14ac:dyDescent="0.25">
      <c r="A193" t="s">
        <v>96</v>
      </c>
      <c r="B193" t="s">
        <v>99</v>
      </c>
      <c r="C193" t="s">
        <v>93</v>
      </c>
      <c r="D193" t="s">
        <v>79</v>
      </c>
      <c r="E193" t="s">
        <v>91</v>
      </c>
      <c r="F193" s="6">
        <v>0.57291666666666663</v>
      </c>
      <c r="G193">
        <v>22</v>
      </c>
      <c r="H193" s="6">
        <f>FLOOR(tblPivotData[[#This Row],[Time]],Summary!$B$6/1440)</f>
        <v>0.57291666666666663</v>
      </c>
      <c r="I193" s="49">
        <f>INDEX(PeakCalc!$L$10:$L$303,MATCH(tblPivotData[[#This Row],[Time]],PeakCalc!$G$10:$G$303,0))</f>
        <v>1</v>
      </c>
    </row>
    <row r="194" spans="1:9" x14ac:dyDescent="0.25">
      <c r="A194" t="s">
        <v>96</v>
      </c>
      <c r="B194" t="s">
        <v>99</v>
      </c>
      <c r="C194" t="s">
        <v>93</v>
      </c>
      <c r="D194" t="s">
        <v>79</v>
      </c>
      <c r="E194" t="s">
        <v>44</v>
      </c>
      <c r="F194" s="6">
        <v>0.66666666666666663</v>
      </c>
      <c r="G194">
        <v>25</v>
      </c>
      <c r="H194" s="6">
        <f>FLOOR(tblPivotData[[#This Row],[Time]],Summary!$B$6/1440)</f>
        <v>0.66666666666666663</v>
      </c>
      <c r="I194" s="49">
        <f>INDEX(PeakCalc!$L$10:$L$303,MATCH(tblPivotData[[#This Row],[Time]],PeakCalc!$G$10:$G$303,0))</f>
        <v>0</v>
      </c>
    </row>
    <row r="195" spans="1:9" x14ac:dyDescent="0.25">
      <c r="A195" t="s">
        <v>96</v>
      </c>
      <c r="B195" t="s">
        <v>99</v>
      </c>
      <c r="C195" t="s">
        <v>93</v>
      </c>
      <c r="D195" t="s">
        <v>79</v>
      </c>
      <c r="E195" t="s">
        <v>44</v>
      </c>
      <c r="F195" s="6">
        <v>0.67708333333333337</v>
      </c>
      <c r="G195">
        <v>27</v>
      </c>
      <c r="H195" s="6">
        <f>FLOOR(tblPivotData[[#This Row],[Time]],Summary!$B$6/1440)</f>
        <v>0.67708333333333326</v>
      </c>
      <c r="I195" s="49">
        <f>INDEX(PeakCalc!$L$10:$L$303,MATCH(tblPivotData[[#This Row],[Time]],PeakCalc!$G$10:$G$303,0))</f>
        <v>0</v>
      </c>
    </row>
    <row r="196" spans="1:9" x14ac:dyDescent="0.25">
      <c r="A196" t="s">
        <v>96</v>
      </c>
      <c r="B196" t="s">
        <v>99</v>
      </c>
      <c r="C196" t="s">
        <v>93</v>
      </c>
      <c r="D196" t="s">
        <v>79</v>
      </c>
      <c r="E196" t="s">
        <v>44</v>
      </c>
      <c r="F196" s="6">
        <v>0.6875</v>
      </c>
      <c r="G196">
        <v>37</v>
      </c>
      <c r="H196" s="6">
        <f>FLOOR(tblPivotData[[#This Row],[Time]],Summary!$B$6/1440)</f>
        <v>0.6875</v>
      </c>
      <c r="I196" s="49">
        <f>INDEX(PeakCalc!$L$10:$L$303,MATCH(tblPivotData[[#This Row],[Time]],PeakCalc!$G$10:$G$303,0))</f>
        <v>0</v>
      </c>
    </row>
    <row r="197" spans="1:9" x14ac:dyDescent="0.25">
      <c r="A197" t="s">
        <v>96</v>
      </c>
      <c r="B197" t="s">
        <v>99</v>
      </c>
      <c r="C197" t="s">
        <v>93</v>
      </c>
      <c r="D197" t="s">
        <v>79</v>
      </c>
      <c r="E197" t="s">
        <v>44</v>
      </c>
      <c r="F197" s="6">
        <v>0.69791666666666663</v>
      </c>
      <c r="G197">
        <v>20</v>
      </c>
      <c r="H197" s="6">
        <f>FLOOR(tblPivotData[[#This Row],[Time]],Summary!$B$6/1440)</f>
        <v>0.69791666666666663</v>
      </c>
      <c r="I197" s="49">
        <f>INDEX(PeakCalc!$L$10:$L$303,MATCH(tblPivotData[[#This Row],[Time]],PeakCalc!$G$10:$G$303,0))</f>
        <v>1</v>
      </c>
    </row>
    <row r="198" spans="1:9" x14ac:dyDescent="0.25">
      <c r="A198" t="s">
        <v>96</v>
      </c>
      <c r="B198" t="s">
        <v>99</v>
      </c>
      <c r="C198" t="s">
        <v>93</v>
      </c>
      <c r="D198" t="s">
        <v>79</v>
      </c>
      <c r="E198" t="s">
        <v>44</v>
      </c>
      <c r="F198" s="6">
        <v>0.70833333333333337</v>
      </c>
      <c r="G198">
        <v>33</v>
      </c>
      <c r="H198" s="6">
        <f>FLOOR(tblPivotData[[#This Row],[Time]],Summary!$B$6/1440)</f>
        <v>0.70833333333333326</v>
      </c>
      <c r="I198" s="49">
        <f>INDEX(PeakCalc!$L$10:$L$303,MATCH(tblPivotData[[#This Row],[Time]],PeakCalc!$G$10:$G$303,0))</f>
        <v>1</v>
      </c>
    </row>
    <row r="199" spans="1:9" x14ac:dyDescent="0.25">
      <c r="A199" t="s">
        <v>96</v>
      </c>
      <c r="B199" t="s">
        <v>99</v>
      </c>
      <c r="C199" t="s">
        <v>93</v>
      </c>
      <c r="D199" t="s">
        <v>79</v>
      </c>
      <c r="E199" t="s">
        <v>44</v>
      </c>
      <c r="F199" s="6">
        <v>0.71875</v>
      </c>
      <c r="G199">
        <v>30</v>
      </c>
      <c r="H199" s="6">
        <f>FLOOR(tblPivotData[[#This Row],[Time]],Summary!$B$6/1440)</f>
        <v>0.71875</v>
      </c>
      <c r="I199" s="49">
        <f>INDEX(PeakCalc!$L$10:$L$303,MATCH(tblPivotData[[#This Row],[Time]],PeakCalc!$G$10:$G$303,0))</f>
        <v>1</v>
      </c>
    </row>
    <row r="200" spans="1:9" x14ac:dyDescent="0.25">
      <c r="A200" t="s">
        <v>96</v>
      </c>
      <c r="B200" t="s">
        <v>99</v>
      </c>
      <c r="C200" t="s">
        <v>93</v>
      </c>
      <c r="D200" t="s">
        <v>79</v>
      </c>
      <c r="E200" t="s">
        <v>44</v>
      </c>
      <c r="F200" s="6">
        <v>0.72916666666666663</v>
      </c>
      <c r="G200">
        <v>22</v>
      </c>
      <c r="H200" s="6">
        <f>FLOOR(tblPivotData[[#This Row],[Time]],Summary!$B$6/1440)</f>
        <v>0.72916666666666663</v>
      </c>
      <c r="I200" s="49">
        <f>INDEX(PeakCalc!$L$10:$L$303,MATCH(tblPivotData[[#This Row],[Time]],PeakCalc!$G$10:$G$303,0))</f>
        <v>1</v>
      </c>
    </row>
    <row r="201" spans="1:9" x14ac:dyDescent="0.25">
      <c r="A201" t="s">
        <v>96</v>
      </c>
      <c r="B201" t="s">
        <v>99</v>
      </c>
      <c r="C201" t="s">
        <v>93</v>
      </c>
      <c r="D201" t="s">
        <v>79</v>
      </c>
      <c r="E201" t="s">
        <v>44</v>
      </c>
      <c r="F201" s="6">
        <v>0.73958333333333337</v>
      </c>
      <c r="G201">
        <v>20</v>
      </c>
      <c r="H201" s="6">
        <f>FLOOR(tblPivotData[[#This Row],[Time]],Summary!$B$6/1440)</f>
        <v>0.73958333333333326</v>
      </c>
      <c r="I201" s="49">
        <f>INDEX(PeakCalc!$L$10:$L$303,MATCH(tblPivotData[[#This Row],[Time]],PeakCalc!$G$10:$G$303,0))</f>
        <v>0</v>
      </c>
    </row>
    <row r="202" spans="1:9" x14ac:dyDescent="0.25">
      <c r="A202" t="s">
        <v>96</v>
      </c>
      <c r="B202" t="s">
        <v>99</v>
      </c>
      <c r="C202" t="s">
        <v>93</v>
      </c>
      <c r="D202" t="s">
        <v>90</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96</v>
      </c>
      <c r="B203" t="s">
        <v>99</v>
      </c>
      <c r="C203" t="s">
        <v>93</v>
      </c>
      <c r="D203" t="s">
        <v>90</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96</v>
      </c>
      <c r="B204" t="s">
        <v>99</v>
      </c>
      <c r="C204" t="s">
        <v>93</v>
      </c>
      <c r="D204" t="s">
        <v>90</v>
      </c>
      <c r="E204" t="s">
        <v>43</v>
      </c>
      <c r="F204" s="6">
        <v>0.3125</v>
      </c>
      <c r="G204">
        <v>1</v>
      </c>
      <c r="H204" s="6">
        <f>FLOOR(tblPivotData[[#This Row],[Time]],Summary!$B$6/1440)</f>
        <v>0.3125</v>
      </c>
      <c r="I204" s="49">
        <f>INDEX(PeakCalc!$L$10:$L$303,MATCH(tblPivotData[[#This Row],[Time]],PeakCalc!$G$10:$G$303,0))</f>
        <v>0</v>
      </c>
    </row>
    <row r="205" spans="1:9" x14ac:dyDescent="0.25">
      <c r="A205" t="s">
        <v>96</v>
      </c>
      <c r="B205" t="s">
        <v>99</v>
      </c>
      <c r="C205" t="s">
        <v>93</v>
      </c>
      <c r="D205" t="s">
        <v>90</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96</v>
      </c>
      <c r="B206" t="s">
        <v>99</v>
      </c>
      <c r="C206" t="s">
        <v>93</v>
      </c>
      <c r="D206" t="s">
        <v>90</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96</v>
      </c>
      <c r="B207" t="s">
        <v>99</v>
      </c>
      <c r="C207" t="s">
        <v>93</v>
      </c>
      <c r="D207" t="s">
        <v>90</v>
      </c>
      <c r="E207" t="s">
        <v>43</v>
      </c>
      <c r="F207" s="6">
        <v>0.34375</v>
      </c>
      <c r="G207">
        <v>1</v>
      </c>
      <c r="H207" s="6">
        <f>FLOOR(tblPivotData[[#This Row],[Time]],Summary!$B$6/1440)</f>
        <v>0.34375</v>
      </c>
      <c r="I207" s="49">
        <f>INDEX(PeakCalc!$L$10:$L$303,MATCH(tblPivotData[[#This Row],[Time]],PeakCalc!$G$10:$G$303,0))</f>
        <v>1</v>
      </c>
    </row>
    <row r="208" spans="1:9" x14ac:dyDescent="0.25">
      <c r="A208" t="s">
        <v>96</v>
      </c>
      <c r="B208" t="s">
        <v>99</v>
      </c>
      <c r="C208" t="s">
        <v>93</v>
      </c>
      <c r="D208" t="s">
        <v>90</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96</v>
      </c>
      <c r="B209" t="s">
        <v>99</v>
      </c>
      <c r="C209" t="s">
        <v>93</v>
      </c>
      <c r="D209" t="s">
        <v>90</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96</v>
      </c>
      <c r="B210" t="s">
        <v>99</v>
      </c>
      <c r="C210" t="s">
        <v>93</v>
      </c>
      <c r="D210" t="s">
        <v>90</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96</v>
      </c>
      <c r="B211" t="s">
        <v>99</v>
      </c>
      <c r="C211" t="s">
        <v>93</v>
      </c>
      <c r="D211" t="s">
        <v>90</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96</v>
      </c>
      <c r="B212" t="s">
        <v>99</v>
      </c>
      <c r="C212" t="s">
        <v>93</v>
      </c>
      <c r="D212" t="s">
        <v>90</v>
      </c>
      <c r="E212" t="s">
        <v>91</v>
      </c>
      <c r="F212" s="6">
        <v>0.5625</v>
      </c>
      <c r="G212">
        <v>0</v>
      </c>
      <c r="H212" s="6">
        <f>FLOOR(tblPivotData[[#This Row],[Time]],Summary!$B$6/1440)</f>
        <v>0.5625</v>
      </c>
      <c r="I212" s="49">
        <f>INDEX(PeakCalc!$L$10:$L$303,MATCH(tblPivotData[[#This Row],[Time]],PeakCalc!$G$10:$G$303,0))</f>
        <v>1</v>
      </c>
    </row>
    <row r="213" spans="1:9" x14ac:dyDescent="0.25">
      <c r="A213" t="s">
        <v>96</v>
      </c>
      <c r="B213" t="s">
        <v>99</v>
      </c>
      <c r="C213" t="s">
        <v>93</v>
      </c>
      <c r="D213" t="s">
        <v>90</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96</v>
      </c>
      <c r="B214" t="s">
        <v>99</v>
      </c>
      <c r="C214" t="s">
        <v>93</v>
      </c>
      <c r="D214" t="s">
        <v>90</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96</v>
      </c>
      <c r="B215" t="s">
        <v>99</v>
      </c>
      <c r="C215" t="s">
        <v>93</v>
      </c>
      <c r="D215" t="s">
        <v>90</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96</v>
      </c>
      <c r="B216" t="s">
        <v>99</v>
      </c>
      <c r="C216" t="s">
        <v>93</v>
      </c>
      <c r="D216" t="s">
        <v>90</v>
      </c>
      <c r="E216" t="s">
        <v>44</v>
      </c>
      <c r="F216" s="6">
        <v>0.6875</v>
      </c>
      <c r="G216">
        <v>2</v>
      </c>
      <c r="H216" s="6">
        <f>FLOOR(tblPivotData[[#This Row],[Time]],Summary!$B$6/1440)</f>
        <v>0.6875</v>
      </c>
      <c r="I216" s="49">
        <f>INDEX(PeakCalc!$L$10:$L$303,MATCH(tblPivotData[[#This Row],[Time]],PeakCalc!$G$10:$G$303,0))</f>
        <v>0</v>
      </c>
    </row>
    <row r="217" spans="1:9" x14ac:dyDescent="0.25">
      <c r="A217" t="s">
        <v>96</v>
      </c>
      <c r="B217" t="s">
        <v>99</v>
      </c>
      <c r="C217" t="s">
        <v>93</v>
      </c>
      <c r="D217" t="s">
        <v>90</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96</v>
      </c>
      <c r="B218" t="s">
        <v>99</v>
      </c>
      <c r="C218" t="s">
        <v>93</v>
      </c>
      <c r="D218" t="s">
        <v>90</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96</v>
      </c>
      <c r="B219" t="s">
        <v>99</v>
      </c>
      <c r="C219" t="s">
        <v>93</v>
      </c>
      <c r="D219" t="s">
        <v>90</v>
      </c>
      <c r="E219" t="s">
        <v>44</v>
      </c>
      <c r="F219" s="6">
        <v>0.71875</v>
      </c>
      <c r="G219">
        <v>1</v>
      </c>
      <c r="H219" s="6">
        <f>FLOOR(tblPivotData[[#This Row],[Time]],Summary!$B$6/1440)</f>
        <v>0.71875</v>
      </c>
      <c r="I219" s="49">
        <f>INDEX(PeakCalc!$L$10:$L$303,MATCH(tblPivotData[[#This Row],[Time]],PeakCalc!$G$10:$G$303,0))</f>
        <v>1</v>
      </c>
    </row>
    <row r="220" spans="1:9" x14ac:dyDescent="0.25">
      <c r="A220" t="s">
        <v>96</v>
      </c>
      <c r="B220" t="s">
        <v>99</v>
      </c>
      <c r="C220" t="s">
        <v>93</v>
      </c>
      <c r="D220" t="s">
        <v>90</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96</v>
      </c>
      <c r="B221" t="s">
        <v>99</v>
      </c>
      <c r="C221" t="s">
        <v>93</v>
      </c>
      <c r="D221" t="s">
        <v>90</v>
      </c>
      <c r="E221" t="s">
        <v>44</v>
      </c>
      <c r="F221" s="6">
        <v>0.73958333333333337</v>
      </c>
      <c r="G221">
        <v>1</v>
      </c>
      <c r="H221" s="6">
        <f>FLOOR(tblPivotData[[#This Row],[Time]],Summary!$B$6/1440)</f>
        <v>0.73958333333333326</v>
      </c>
      <c r="I221" s="49">
        <f>INDEX(PeakCalc!$L$10:$L$303,MATCH(tblPivotData[[#This Row],[Time]],PeakCalc!$G$10:$G$303,0))</f>
        <v>0</v>
      </c>
    </row>
    <row r="222" spans="1:9" x14ac:dyDescent="0.25">
      <c r="A222" t="s">
        <v>96</v>
      </c>
      <c r="B222" t="s">
        <v>99</v>
      </c>
      <c r="C222" t="s">
        <v>93</v>
      </c>
      <c r="D222" t="s">
        <v>88</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96</v>
      </c>
      <c r="B223" t="s">
        <v>99</v>
      </c>
      <c r="C223" t="s">
        <v>93</v>
      </c>
      <c r="D223" t="s">
        <v>88</v>
      </c>
      <c r="E223" t="s">
        <v>43</v>
      </c>
      <c r="F223" s="6">
        <v>0.30208333333333331</v>
      </c>
      <c r="G223">
        <v>4</v>
      </c>
      <c r="H223" s="6">
        <f>FLOOR(tblPivotData[[#This Row],[Time]],Summary!$B$6/1440)</f>
        <v>0.30208333333333331</v>
      </c>
      <c r="I223" s="49">
        <f>INDEX(PeakCalc!$L$10:$L$303,MATCH(tblPivotData[[#This Row],[Time]],PeakCalc!$G$10:$G$303,0))</f>
        <v>0</v>
      </c>
    </row>
    <row r="224" spans="1:9" x14ac:dyDescent="0.25">
      <c r="A224" t="s">
        <v>96</v>
      </c>
      <c r="B224" t="s">
        <v>99</v>
      </c>
      <c r="C224" t="s">
        <v>93</v>
      </c>
      <c r="D224" t="s">
        <v>88</v>
      </c>
      <c r="E224" t="s">
        <v>43</v>
      </c>
      <c r="F224" s="6">
        <v>0.3125</v>
      </c>
      <c r="G224">
        <v>6</v>
      </c>
      <c r="H224" s="6">
        <f>FLOOR(tblPivotData[[#This Row],[Time]],Summary!$B$6/1440)</f>
        <v>0.3125</v>
      </c>
      <c r="I224" s="49">
        <f>INDEX(PeakCalc!$L$10:$L$303,MATCH(tblPivotData[[#This Row],[Time]],PeakCalc!$G$10:$G$303,0))</f>
        <v>0</v>
      </c>
    </row>
    <row r="225" spans="1:9" x14ac:dyDescent="0.25">
      <c r="A225" t="s">
        <v>96</v>
      </c>
      <c r="B225" t="s">
        <v>99</v>
      </c>
      <c r="C225" t="s">
        <v>93</v>
      </c>
      <c r="D225" t="s">
        <v>88</v>
      </c>
      <c r="E225" t="s">
        <v>43</v>
      </c>
      <c r="F225" s="6">
        <v>0.32291666666666669</v>
      </c>
      <c r="G225">
        <v>6</v>
      </c>
      <c r="H225" s="6">
        <f>FLOOR(tblPivotData[[#This Row],[Time]],Summary!$B$6/1440)</f>
        <v>0.32291666666666663</v>
      </c>
      <c r="I225" s="49">
        <f>INDEX(PeakCalc!$L$10:$L$303,MATCH(tblPivotData[[#This Row],[Time]],PeakCalc!$G$10:$G$303,0))</f>
        <v>0</v>
      </c>
    </row>
    <row r="226" spans="1:9" x14ac:dyDescent="0.25">
      <c r="A226" t="s">
        <v>96</v>
      </c>
      <c r="B226" t="s">
        <v>99</v>
      </c>
      <c r="C226" t="s">
        <v>93</v>
      </c>
      <c r="D226" t="s">
        <v>88</v>
      </c>
      <c r="E226" t="s">
        <v>43</v>
      </c>
      <c r="F226" s="6">
        <v>0.33333333333333331</v>
      </c>
      <c r="G226">
        <v>9</v>
      </c>
      <c r="H226" s="6">
        <f>FLOOR(tblPivotData[[#This Row],[Time]],Summary!$B$6/1440)</f>
        <v>0.33333333333333331</v>
      </c>
      <c r="I226" s="49">
        <f>INDEX(PeakCalc!$L$10:$L$303,MATCH(tblPivotData[[#This Row],[Time]],PeakCalc!$G$10:$G$303,0))</f>
        <v>1</v>
      </c>
    </row>
    <row r="227" spans="1:9" x14ac:dyDescent="0.25">
      <c r="A227" t="s">
        <v>96</v>
      </c>
      <c r="B227" t="s">
        <v>99</v>
      </c>
      <c r="C227" t="s">
        <v>93</v>
      </c>
      <c r="D227" t="s">
        <v>88</v>
      </c>
      <c r="E227" t="s">
        <v>43</v>
      </c>
      <c r="F227" s="6">
        <v>0.34375</v>
      </c>
      <c r="G227">
        <v>10</v>
      </c>
      <c r="H227" s="6">
        <f>FLOOR(tblPivotData[[#This Row],[Time]],Summary!$B$6/1440)</f>
        <v>0.34375</v>
      </c>
      <c r="I227" s="49">
        <f>INDEX(PeakCalc!$L$10:$L$303,MATCH(tblPivotData[[#This Row],[Time]],PeakCalc!$G$10:$G$303,0))</f>
        <v>1</v>
      </c>
    </row>
    <row r="228" spans="1:9" x14ac:dyDescent="0.25">
      <c r="A228" t="s">
        <v>96</v>
      </c>
      <c r="B228" t="s">
        <v>99</v>
      </c>
      <c r="C228" t="s">
        <v>93</v>
      </c>
      <c r="D228" t="s">
        <v>88</v>
      </c>
      <c r="E228" t="s">
        <v>43</v>
      </c>
      <c r="F228" s="6">
        <v>0.35416666666666669</v>
      </c>
      <c r="G228">
        <v>7</v>
      </c>
      <c r="H228" s="6">
        <f>FLOOR(tblPivotData[[#This Row],[Time]],Summary!$B$6/1440)</f>
        <v>0.35416666666666663</v>
      </c>
      <c r="I228" s="49">
        <f>INDEX(PeakCalc!$L$10:$L$303,MATCH(tblPivotData[[#This Row],[Time]],PeakCalc!$G$10:$G$303,0))</f>
        <v>1</v>
      </c>
    </row>
    <row r="229" spans="1:9" x14ac:dyDescent="0.25">
      <c r="A229" t="s">
        <v>96</v>
      </c>
      <c r="B229" t="s">
        <v>99</v>
      </c>
      <c r="C229" t="s">
        <v>93</v>
      </c>
      <c r="D229" t="s">
        <v>88</v>
      </c>
      <c r="E229" t="s">
        <v>43</v>
      </c>
      <c r="F229" s="6">
        <v>0.36458333333333331</v>
      </c>
      <c r="G229">
        <v>1</v>
      </c>
      <c r="H229" s="6">
        <f>FLOOR(tblPivotData[[#This Row],[Time]],Summary!$B$6/1440)</f>
        <v>0.36458333333333331</v>
      </c>
      <c r="I229" s="49">
        <f>INDEX(PeakCalc!$L$10:$L$303,MATCH(tblPivotData[[#This Row],[Time]],PeakCalc!$G$10:$G$303,0))</f>
        <v>1</v>
      </c>
    </row>
    <row r="230" spans="1:9" x14ac:dyDescent="0.25">
      <c r="A230" t="s">
        <v>96</v>
      </c>
      <c r="B230" t="s">
        <v>99</v>
      </c>
      <c r="C230" t="s">
        <v>93</v>
      </c>
      <c r="D230" t="s">
        <v>88</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96</v>
      </c>
      <c r="B231" t="s">
        <v>99</v>
      </c>
      <c r="C231" t="s">
        <v>93</v>
      </c>
      <c r="D231" t="s">
        <v>88</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96</v>
      </c>
      <c r="B232" t="s">
        <v>99</v>
      </c>
      <c r="C232" t="s">
        <v>93</v>
      </c>
      <c r="D232" t="s">
        <v>88</v>
      </c>
      <c r="E232" t="s">
        <v>91</v>
      </c>
      <c r="F232" s="6">
        <v>0.5625</v>
      </c>
      <c r="G232">
        <v>0</v>
      </c>
      <c r="H232" s="6">
        <f>FLOOR(tblPivotData[[#This Row],[Time]],Summary!$B$6/1440)</f>
        <v>0.5625</v>
      </c>
      <c r="I232" s="49">
        <f>INDEX(PeakCalc!$L$10:$L$303,MATCH(tblPivotData[[#This Row],[Time]],PeakCalc!$G$10:$G$303,0))</f>
        <v>1</v>
      </c>
    </row>
    <row r="233" spans="1:9" x14ac:dyDescent="0.25">
      <c r="A233" t="s">
        <v>96</v>
      </c>
      <c r="B233" t="s">
        <v>99</v>
      </c>
      <c r="C233" t="s">
        <v>93</v>
      </c>
      <c r="D233" t="s">
        <v>88</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96</v>
      </c>
      <c r="B234" t="s">
        <v>99</v>
      </c>
      <c r="C234" t="s">
        <v>93</v>
      </c>
      <c r="D234" t="s">
        <v>88</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96</v>
      </c>
      <c r="B235" t="s">
        <v>99</v>
      </c>
      <c r="C235" t="s">
        <v>93</v>
      </c>
      <c r="D235" t="s">
        <v>88</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96</v>
      </c>
      <c r="B236" t="s">
        <v>99</v>
      </c>
      <c r="C236" t="s">
        <v>93</v>
      </c>
      <c r="D236" t="s">
        <v>88</v>
      </c>
      <c r="E236" t="s">
        <v>44</v>
      </c>
      <c r="F236" s="6">
        <v>0.6875</v>
      </c>
      <c r="G236">
        <v>0</v>
      </c>
      <c r="H236" s="6">
        <f>FLOOR(tblPivotData[[#This Row],[Time]],Summary!$B$6/1440)</f>
        <v>0.6875</v>
      </c>
      <c r="I236" s="49">
        <f>INDEX(PeakCalc!$L$10:$L$303,MATCH(tblPivotData[[#This Row],[Time]],PeakCalc!$G$10:$G$303,0))</f>
        <v>0</v>
      </c>
    </row>
    <row r="237" spans="1:9" x14ac:dyDescent="0.25">
      <c r="A237" t="s">
        <v>96</v>
      </c>
      <c r="B237" t="s">
        <v>99</v>
      </c>
      <c r="C237" t="s">
        <v>93</v>
      </c>
      <c r="D237" t="s">
        <v>88</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96</v>
      </c>
      <c r="B238" t="s">
        <v>99</v>
      </c>
      <c r="C238" t="s">
        <v>93</v>
      </c>
      <c r="D238" t="s">
        <v>88</v>
      </c>
      <c r="E238" t="s">
        <v>44</v>
      </c>
      <c r="F238" s="6">
        <v>0.70833333333333337</v>
      </c>
      <c r="G238">
        <v>2</v>
      </c>
      <c r="H238" s="6">
        <f>FLOOR(tblPivotData[[#This Row],[Time]],Summary!$B$6/1440)</f>
        <v>0.70833333333333326</v>
      </c>
      <c r="I238" s="49">
        <f>INDEX(PeakCalc!$L$10:$L$303,MATCH(tblPivotData[[#This Row],[Time]],PeakCalc!$G$10:$G$303,0))</f>
        <v>1</v>
      </c>
    </row>
    <row r="239" spans="1:9" x14ac:dyDescent="0.25">
      <c r="A239" t="s">
        <v>96</v>
      </c>
      <c r="B239" t="s">
        <v>99</v>
      </c>
      <c r="C239" t="s">
        <v>93</v>
      </c>
      <c r="D239" t="s">
        <v>88</v>
      </c>
      <c r="E239" t="s">
        <v>44</v>
      </c>
      <c r="F239" s="6">
        <v>0.71875</v>
      </c>
      <c r="G239">
        <v>0</v>
      </c>
      <c r="H239" s="6">
        <f>FLOOR(tblPivotData[[#This Row],[Time]],Summary!$B$6/1440)</f>
        <v>0.71875</v>
      </c>
      <c r="I239" s="49">
        <f>INDEX(PeakCalc!$L$10:$L$303,MATCH(tblPivotData[[#This Row],[Time]],PeakCalc!$G$10:$G$303,0))</f>
        <v>1</v>
      </c>
    </row>
    <row r="240" spans="1:9" x14ac:dyDescent="0.25">
      <c r="A240" t="s">
        <v>96</v>
      </c>
      <c r="B240" t="s">
        <v>99</v>
      </c>
      <c r="C240" t="s">
        <v>93</v>
      </c>
      <c r="D240" t="s">
        <v>88</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96</v>
      </c>
      <c r="B241" t="s">
        <v>99</v>
      </c>
      <c r="C241" t="s">
        <v>93</v>
      </c>
      <c r="D241" t="s">
        <v>88</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93</v>
      </c>
      <c r="D242" t="s">
        <v>79</v>
      </c>
      <c r="E242" t="s">
        <v>43</v>
      </c>
      <c r="F242" s="6">
        <v>0.29166666666666669</v>
      </c>
      <c r="G242">
        <v>58</v>
      </c>
      <c r="H242" s="6">
        <f>FLOOR(tblPivotData[[#This Row],[Time]],Summary!$B$6/1440)</f>
        <v>0.29166666666666663</v>
      </c>
      <c r="I242" s="49">
        <f>INDEX(PeakCalc!$L$10:$L$303,MATCH(tblPivotData[[#This Row],[Time]],PeakCalc!$G$10:$G$303,0))</f>
        <v>0</v>
      </c>
    </row>
    <row r="243" spans="1:9" x14ac:dyDescent="0.25">
      <c r="A243" t="s">
        <v>94</v>
      </c>
      <c r="B243" t="s">
        <v>100</v>
      </c>
      <c r="C243" t="s">
        <v>93</v>
      </c>
      <c r="D243" t="s">
        <v>79</v>
      </c>
      <c r="E243" t="s">
        <v>43</v>
      </c>
      <c r="F243" s="6">
        <v>0.30208333333333331</v>
      </c>
      <c r="G243">
        <v>64</v>
      </c>
      <c r="H243" s="6">
        <f>FLOOR(tblPivotData[[#This Row],[Time]],Summary!$B$6/1440)</f>
        <v>0.30208333333333331</v>
      </c>
      <c r="I243" s="49">
        <f>INDEX(PeakCalc!$L$10:$L$303,MATCH(tblPivotData[[#This Row],[Time]],PeakCalc!$G$10:$G$303,0))</f>
        <v>0</v>
      </c>
    </row>
    <row r="244" spans="1:9" x14ac:dyDescent="0.25">
      <c r="A244" t="s">
        <v>94</v>
      </c>
      <c r="B244" t="s">
        <v>100</v>
      </c>
      <c r="C244" t="s">
        <v>93</v>
      </c>
      <c r="D244" t="s">
        <v>79</v>
      </c>
      <c r="E244" t="s">
        <v>43</v>
      </c>
      <c r="F244" s="6">
        <v>0.3125</v>
      </c>
      <c r="G244">
        <v>107</v>
      </c>
      <c r="H244" s="6">
        <f>FLOOR(tblPivotData[[#This Row],[Time]],Summary!$B$6/1440)</f>
        <v>0.3125</v>
      </c>
      <c r="I244" s="49">
        <f>INDEX(PeakCalc!$L$10:$L$303,MATCH(tblPivotData[[#This Row],[Time]],PeakCalc!$G$10:$G$303,0))</f>
        <v>0</v>
      </c>
    </row>
    <row r="245" spans="1:9" x14ac:dyDescent="0.25">
      <c r="A245" t="s">
        <v>94</v>
      </c>
      <c r="B245" t="s">
        <v>100</v>
      </c>
      <c r="C245" t="s">
        <v>93</v>
      </c>
      <c r="D245" t="s">
        <v>79</v>
      </c>
      <c r="E245" t="s">
        <v>43</v>
      </c>
      <c r="F245" s="6">
        <v>0.32291666666666669</v>
      </c>
      <c r="G245">
        <v>110</v>
      </c>
      <c r="H245" s="6">
        <f>FLOOR(tblPivotData[[#This Row],[Time]],Summary!$B$6/1440)</f>
        <v>0.32291666666666663</v>
      </c>
      <c r="I245" s="49">
        <f>INDEX(PeakCalc!$L$10:$L$303,MATCH(tblPivotData[[#This Row],[Time]],PeakCalc!$G$10:$G$303,0))</f>
        <v>0</v>
      </c>
    </row>
    <row r="246" spans="1:9" x14ac:dyDescent="0.25">
      <c r="A246" t="s">
        <v>94</v>
      </c>
      <c r="B246" t="s">
        <v>100</v>
      </c>
      <c r="C246" t="s">
        <v>93</v>
      </c>
      <c r="D246" t="s">
        <v>79</v>
      </c>
      <c r="E246" t="s">
        <v>43</v>
      </c>
      <c r="F246" s="6">
        <v>0.33333333333333331</v>
      </c>
      <c r="G246">
        <v>126</v>
      </c>
      <c r="H246" s="6">
        <f>FLOOR(tblPivotData[[#This Row],[Time]],Summary!$B$6/1440)</f>
        <v>0.33333333333333331</v>
      </c>
      <c r="I246" s="49">
        <f>INDEX(PeakCalc!$L$10:$L$303,MATCH(tblPivotData[[#This Row],[Time]],PeakCalc!$G$10:$G$303,0))</f>
        <v>1</v>
      </c>
    </row>
    <row r="247" spans="1:9" x14ac:dyDescent="0.25">
      <c r="A247" t="s">
        <v>94</v>
      </c>
      <c r="B247" t="s">
        <v>100</v>
      </c>
      <c r="C247" t="s">
        <v>93</v>
      </c>
      <c r="D247" t="s">
        <v>79</v>
      </c>
      <c r="E247" t="s">
        <v>43</v>
      </c>
      <c r="F247" s="6">
        <v>0.34375</v>
      </c>
      <c r="G247">
        <v>135</v>
      </c>
      <c r="H247" s="6">
        <f>FLOOR(tblPivotData[[#This Row],[Time]],Summary!$B$6/1440)</f>
        <v>0.34375</v>
      </c>
      <c r="I247" s="49">
        <f>INDEX(PeakCalc!$L$10:$L$303,MATCH(tblPivotData[[#This Row],[Time]],PeakCalc!$G$10:$G$303,0))</f>
        <v>1</v>
      </c>
    </row>
    <row r="248" spans="1:9" x14ac:dyDescent="0.25">
      <c r="A248" t="s">
        <v>94</v>
      </c>
      <c r="B248" t="s">
        <v>100</v>
      </c>
      <c r="C248" t="s">
        <v>93</v>
      </c>
      <c r="D248" t="s">
        <v>79</v>
      </c>
      <c r="E248" t="s">
        <v>43</v>
      </c>
      <c r="F248" s="6">
        <v>0.35416666666666669</v>
      </c>
      <c r="G248">
        <v>135</v>
      </c>
      <c r="H248" s="6">
        <f>FLOOR(tblPivotData[[#This Row],[Time]],Summary!$B$6/1440)</f>
        <v>0.35416666666666663</v>
      </c>
      <c r="I248" s="49">
        <f>INDEX(PeakCalc!$L$10:$L$303,MATCH(tblPivotData[[#This Row],[Time]],PeakCalc!$G$10:$G$303,0))</f>
        <v>1</v>
      </c>
    </row>
    <row r="249" spans="1:9" x14ac:dyDescent="0.25">
      <c r="A249" t="s">
        <v>94</v>
      </c>
      <c r="B249" t="s">
        <v>100</v>
      </c>
      <c r="C249" t="s">
        <v>93</v>
      </c>
      <c r="D249" t="s">
        <v>79</v>
      </c>
      <c r="E249" t="s">
        <v>43</v>
      </c>
      <c r="F249" s="6">
        <v>0.36458333333333331</v>
      </c>
      <c r="G249">
        <v>104</v>
      </c>
      <c r="H249" s="6">
        <f>FLOOR(tblPivotData[[#This Row],[Time]],Summary!$B$6/1440)</f>
        <v>0.36458333333333331</v>
      </c>
      <c r="I249" s="49">
        <f>INDEX(PeakCalc!$L$10:$L$303,MATCH(tblPivotData[[#This Row],[Time]],PeakCalc!$G$10:$G$303,0))</f>
        <v>1</v>
      </c>
    </row>
    <row r="250" spans="1:9" x14ac:dyDescent="0.25">
      <c r="A250" t="s">
        <v>94</v>
      </c>
      <c r="B250" t="s">
        <v>100</v>
      </c>
      <c r="C250" t="s">
        <v>93</v>
      </c>
      <c r="D250" t="s">
        <v>79</v>
      </c>
      <c r="E250" t="s">
        <v>91</v>
      </c>
      <c r="F250" s="6">
        <v>0.54166666666666663</v>
      </c>
      <c r="G250">
        <v>41</v>
      </c>
      <c r="H250" s="6">
        <f>FLOOR(tblPivotData[[#This Row],[Time]],Summary!$B$6/1440)</f>
        <v>0.54166666666666663</v>
      </c>
      <c r="I250" s="49">
        <f>INDEX(PeakCalc!$L$10:$L$303,MATCH(tblPivotData[[#This Row],[Time]],PeakCalc!$G$10:$G$303,0))</f>
        <v>1</v>
      </c>
    </row>
    <row r="251" spans="1:9" x14ac:dyDescent="0.25">
      <c r="A251" t="s">
        <v>94</v>
      </c>
      <c r="B251" t="s">
        <v>100</v>
      </c>
      <c r="C251" t="s">
        <v>93</v>
      </c>
      <c r="D251" t="s">
        <v>79</v>
      </c>
      <c r="E251" t="s">
        <v>91</v>
      </c>
      <c r="F251" s="6">
        <v>0.55208333333333337</v>
      </c>
      <c r="G251">
        <v>37</v>
      </c>
      <c r="H251" s="6">
        <f>FLOOR(tblPivotData[[#This Row],[Time]],Summary!$B$6/1440)</f>
        <v>0.55208333333333326</v>
      </c>
      <c r="I251" s="49">
        <f>INDEX(PeakCalc!$L$10:$L$303,MATCH(tblPivotData[[#This Row],[Time]],PeakCalc!$G$10:$G$303,0))</f>
        <v>1</v>
      </c>
    </row>
    <row r="252" spans="1:9" x14ac:dyDescent="0.25">
      <c r="A252" t="s">
        <v>94</v>
      </c>
      <c r="B252" t="s">
        <v>100</v>
      </c>
      <c r="C252" t="s">
        <v>93</v>
      </c>
      <c r="D252" t="s">
        <v>79</v>
      </c>
      <c r="E252" t="s">
        <v>91</v>
      </c>
      <c r="F252" s="6">
        <v>0.5625</v>
      </c>
      <c r="G252">
        <v>43</v>
      </c>
      <c r="H252" s="6">
        <f>FLOOR(tblPivotData[[#This Row],[Time]],Summary!$B$6/1440)</f>
        <v>0.5625</v>
      </c>
      <c r="I252" s="49">
        <f>INDEX(PeakCalc!$L$10:$L$303,MATCH(tblPivotData[[#This Row],[Time]],PeakCalc!$G$10:$G$303,0))</f>
        <v>1</v>
      </c>
    </row>
    <row r="253" spans="1:9" x14ac:dyDescent="0.25">
      <c r="A253" t="s">
        <v>94</v>
      </c>
      <c r="B253" t="s">
        <v>100</v>
      </c>
      <c r="C253" t="s">
        <v>93</v>
      </c>
      <c r="D253" t="s">
        <v>79</v>
      </c>
      <c r="E253" t="s">
        <v>91</v>
      </c>
      <c r="F253" s="6">
        <v>0.57291666666666663</v>
      </c>
      <c r="G253">
        <v>38</v>
      </c>
      <c r="H253" s="6">
        <f>FLOOR(tblPivotData[[#This Row],[Time]],Summary!$B$6/1440)</f>
        <v>0.57291666666666663</v>
      </c>
      <c r="I253" s="49">
        <f>INDEX(PeakCalc!$L$10:$L$303,MATCH(tblPivotData[[#This Row],[Time]],PeakCalc!$G$10:$G$303,0))</f>
        <v>1</v>
      </c>
    </row>
    <row r="254" spans="1:9" x14ac:dyDescent="0.25">
      <c r="A254" t="s">
        <v>94</v>
      </c>
      <c r="B254" t="s">
        <v>100</v>
      </c>
      <c r="C254" t="s">
        <v>93</v>
      </c>
      <c r="D254" t="s">
        <v>79</v>
      </c>
      <c r="E254" t="s">
        <v>44</v>
      </c>
      <c r="F254" s="6">
        <v>0.66666666666666663</v>
      </c>
      <c r="G254">
        <v>69</v>
      </c>
      <c r="H254" s="6">
        <f>FLOOR(tblPivotData[[#This Row],[Time]],Summary!$B$6/1440)</f>
        <v>0.66666666666666663</v>
      </c>
      <c r="I254" s="49">
        <f>INDEX(PeakCalc!$L$10:$L$303,MATCH(tblPivotData[[#This Row],[Time]],PeakCalc!$G$10:$G$303,0))</f>
        <v>0</v>
      </c>
    </row>
    <row r="255" spans="1:9" x14ac:dyDescent="0.25">
      <c r="A255" t="s">
        <v>94</v>
      </c>
      <c r="B255" t="s">
        <v>100</v>
      </c>
      <c r="C255" t="s">
        <v>93</v>
      </c>
      <c r="D255" t="s">
        <v>79</v>
      </c>
      <c r="E255" t="s">
        <v>44</v>
      </c>
      <c r="F255" s="6">
        <v>0.67708333333333337</v>
      </c>
      <c r="G255">
        <v>96</v>
      </c>
      <c r="H255" s="6">
        <f>FLOOR(tblPivotData[[#This Row],[Time]],Summary!$B$6/1440)</f>
        <v>0.67708333333333326</v>
      </c>
      <c r="I255" s="49">
        <f>INDEX(PeakCalc!$L$10:$L$303,MATCH(tblPivotData[[#This Row],[Time]],PeakCalc!$G$10:$G$303,0))</f>
        <v>0</v>
      </c>
    </row>
    <row r="256" spans="1:9" x14ac:dyDescent="0.25">
      <c r="A256" t="s">
        <v>94</v>
      </c>
      <c r="B256" t="s">
        <v>100</v>
      </c>
      <c r="C256" t="s">
        <v>93</v>
      </c>
      <c r="D256" t="s">
        <v>79</v>
      </c>
      <c r="E256" t="s">
        <v>44</v>
      </c>
      <c r="F256" s="6">
        <v>0.6875</v>
      </c>
      <c r="G256">
        <v>98</v>
      </c>
      <c r="H256" s="6">
        <f>FLOOR(tblPivotData[[#This Row],[Time]],Summary!$B$6/1440)</f>
        <v>0.6875</v>
      </c>
      <c r="I256" s="49">
        <f>INDEX(PeakCalc!$L$10:$L$303,MATCH(tblPivotData[[#This Row],[Time]],PeakCalc!$G$10:$G$303,0))</f>
        <v>0</v>
      </c>
    </row>
    <row r="257" spans="1:9" x14ac:dyDescent="0.25">
      <c r="A257" t="s">
        <v>94</v>
      </c>
      <c r="B257" t="s">
        <v>100</v>
      </c>
      <c r="C257" t="s">
        <v>93</v>
      </c>
      <c r="D257" t="s">
        <v>79</v>
      </c>
      <c r="E257" t="s">
        <v>44</v>
      </c>
      <c r="F257" s="6">
        <v>0.69791666666666663</v>
      </c>
      <c r="G257">
        <v>104</v>
      </c>
      <c r="H257" s="6">
        <f>FLOOR(tblPivotData[[#This Row],[Time]],Summary!$B$6/1440)</f>
        <v>0.69791666666666663</v>
      </c>
      <c r="I257" s="49">
        <f>INDEX(PeakCalc!$L$10:$L$303,MATCH(tblPivotData[[#This Row],[Time]],PeakCalc!$G$10:$G$303,0))</f>
        <v>1</v>
      </c>
    </row>
    <row r="258" spans="1:9" x14ac:dyDescent="0.25">
      <c r="A258" t="s">
        <v>94</v>
      </c>
      <c r="B258" t="s">
        <v>100</v>
      </c>
      <c r="C258" t="s">
        <v>93</v>
      </c>
      <c r="D258" t="s">
        <v>79</v>
      </c>
      <c r="E258" t="s">
        <v>44</v>
      </c>
      <c r="F258" s="6">
        <v>0.70833333333333337</v>
      </c>
      <c r="G258">
        <v>95</v>
      </c>
      <c r="H258" s="6">
        <f>FLOOR(tblPivotData[[#This Row],[Time]],Summary!$B$6/1440)</f>
        <v>0.70833333333333326</v>
      </c>
      <c r="I258" s="49">
        <f>INDEX(PeakCalc!$L$10:$L$303,MATCH(tblPivotData[[#This Row],[Time]],PeakCalc!$G$10:$G$303,0))</f>
        <v>1</v>
      </c>
    </row>
    <row r="259" spans="1:9" x14ac:dyDescent="0.25">
      <c r="A259" t="s">
        <v>94</v>
      </c>
      <c r="B259" t="s">
        <v>100</v>
      </c>
      <c r="C259" t="s">
        <v>93</v>
      </c>
      <c r="D259" t="s">
        <v>79</v>
      </c>
      <c r="E259" t="s">
        <v>44</v>
      </c>
      <c r="F259" s="6">
        <v>0.71875</v>
      </c>
      <c r="G259">
        <v>107</v>
      </c>
      <c r="H259" s="6">
        <f>FLOOR(tblPivotData[[#This Row],[Time]],Summary!$B$6/1440)</f>
        <v>0.71875</v>
      </c>
      <c r="I259" s="49">
        <f>INDEX(PeakCalc!$L$10:$L$303,MATCH(tblPivotData[[#This Row],[Time]],PeakCalc!$G$10:$G$303,0))</f>
        <v>1</v>
      </c>
    </row>
    <row r="260" spans="1:9" x14ac:dyDescent="0.25">
      <c r="A260" t="s">
        <v>94</v>
      </c>
      <c r="B260" t="s">
        <v>100</v>
      </c>
      <c r="C260" t="s">
        <v>93</v>
      </c>
      <c r="D260" t="s">
        <v>79</v>
      </c>
      <c r="E260" t="s">
        <v>44</v>
      </c>
      <c r="F260" s="6">
        <v>0.72916666666666663</v>
      </c>
      <c r="G260">
        <v>108</v>
      </c>
      <c r="H260" s="6">
        <f>FLOOR(tblPivotData[[#This Row],[Time]],Summary!$B$6/1440)</f>
        <v>0.72916666666666663</v>
      </c>
      <c r="I260" s="49">
        <f>INDEX(PeakCalc!$L$10:$L$303,MATCH(tblPivotData[[#This Row],[Time]],PeakCalc!$G$10:$G$303,0))</f>
        <v>1</v>
      </c>
    </row>
    <row r="261" spans="1:9" x14ac:dyDescent="0.25">
      <c r="A261" t="s">
        <v>94</v>
      </c>
      <c r="B261" t="s">
        <v>100</v>
      </c>
      <c r="C261" t="s">
        <v>93</v>
      </c>
      <c r="D261" t="s">
        <v>79</v>
      </c>
      <c r="E261" t="s">
        <v>44</v>
      </c>
      <c r="F261" s="6">
        <v>0.73958333333333337</v>
      </c>
      <c r="G261">
        <v>68</v>
      </c>
      <c r="H261" s="6">
        <f>FLOOR(tblPivotData[[#This Row],[Time]],Summary!$B$6/1440)</f>
        <v>0.73958333333333326</v>
      </c>
      <c r="I261" s="49">
        <f>INDEX(PeakCalc!$L$10:$L$303,MATCH(tblPivotData[[#This Row],[Time]],PeakCalc!$G$10:$G$303,0))</f>
        <v>0</v>
      </c>
    </row>
    <row r="262" spans="1:9" x14ac:dyDescent="0.25">
      <c r="A262" t="s">
        <v>94</v>
      </c>
      <c r="B262" t="s">
        <v>100</v>
      </c>
      <c r="C262" t="s">
        <v>93</v>
      </c>
      <c r="D262" t="s">
        <v>90</v>
      </c>
      <c r="E262" t="s">
        <v>43</v>
      </c>
      <c r="F262" s="6">
        <v>0.29166666666666669</v>
      </c>
      <c r="G262">
        <v>3</v>
      </c>
      <c r="H262" s="6">
        <f>FLOOR(tblPivotData[[#This Row],[Time]],Summary!$B$6/1440)</f>
        <v>0.29166666666666663</v>
      </c>
      <c r="I262" s="49">
        <f>INDEX(PeakCalc!$L$10:$L$303,MATCH(tblPivotData[[#This Row],[Time]],PeakCalc!$G$10:$G$303,0))</f>
        <v>0</v>
      </c>
    </row>
    <row r="263" spans="1:9" x14ac:dyDescent="0.25">
      <c r="A263" t="s">
        <v>94</v>
      </c>
      <c r="B263" t="s">
        <v>100</v>
      </c>
      <c r="C263" t="s">
        <v>93</v>
      </c>
      <c r="D263" t="s">
        <v>90</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94</v>
      </c>
      <c r="B264" t="s">
        <v>100</v>
      </c>
      <c r="C264" t="s">
        <v>93</v>
      </c>
      <c r="D264" t="s">
        <v>90</v>
      </c>
      <c r="E264" t="s">
        <v>43</v>
      </c>
      <c r="F264" s="6">
        <v>0.3125</v>
      </c>
      <c r="G264">
        <v>1</v>
      </c>
      <c r="H264" s="6">
        <f>FLOOR(tblPivotData[[#This Row],[Time]],Summary!$B$6/1440)</f>
        <v>0.3125</v>
      </c>
      <c r="I264" s="49">
        <f>INDEX(PeakCalc!$L$10:$L$303,MATCH(tblPivotData[[#This Row],[Time]],PeakCalc!$G$10:$G$303,0))</f>
        <v>0</v>
      </c>
    </row>
    <row r="265" spans="1:9" x14ac:dyDescent="0.25">
      <c r="A265" t="s">
        <v>94</v>
      </c>
      <c r="B265" t="s">
        <v>100</v>
      </c>
      <c r="C265" t="s">
        <v>93</v>
      </c>
      <c r="D265" t="s">
        <v>90</v>
      </c>
      <c r="E265" t="s">
        <v>43</v>
      </c>
      <c r="F265" s="6">
        <v>0.32291666666666669</v>
      </c>
      <c r="G265">
        <v>4</v>
      </c>
      <c r="H265" s="6">
        <f>FLOOR(tblPivotData[[#This Row],[Time]],Summary!$B$6/1440)</f>
        <v>0.32291666666666663</v>
      </c>
      <c r="I265" s="49">
        <f>INDEX(PeakCalc!$L$10:$L$303,MATCH(tblPivotData[[#This Row],[Time]],PeakCalc!$G$10:$G$303,0))</f>
        <v>0</v>
      </c>
    </row>
    <row r="266" spans="1:9" x14ac:dyDescent="0.25">
      <c r="A266" t="s">
        <v>94</v>
      </c>
      <c r="B266" t="s">
        <v>100</v>
      </c>
      <c r="C266" t="s">
        <v>93</v>
      </c>
      <c r="D266" t="s">
        <v>90</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100</v>
      </c>
      <c r="C267" t="s">
        <v>93</v>
      </c>
      <c r="D267" t="s">
        <v>90</v>
      </c>
      <c r="E267" t="s">
        <v>43</v>
      </c>
      <c r="F267" s="6">
        <v>0.34375</v>
      </c>
      <c r="G267">
        <v>2</v>
      </c>
      <c r="H267" s="6">
        <f>FLOOR(tblPivotData[[#This Row],[Time]],Summary!$B$6/1440)</f>
        <v>0.34375</v>
      </c>
      <c r="I267" s="49">
        <f>INDEX(PeakCalc!$L$10:$L$303,MATCH(tblPivotData[[#This Row],[Time]],PeakCalc!$G$10:$G$303,0))</f>
        <v>1</v>
      </c>
    </row>
    <row r="268" spans="1:9" x14ac:dyDescent="0.25">
      <c r="A268" t="s">
        <v>94</v>
      </c>
      <c r="B268" t="s">
        <v>100</v>
      </c>
      <c r="C268" t="s">
        <v>93</v>
      </c>
      <c r="D268" t="s">
        <v>90</v>
      </c>
      <c r="E268" t="s">
        <v>43</v>
      </c>
      <c r="F268" s="6">
        <v>0.35416666666666669</v>
      </c>
      <c r="G268">
        <v>3</v>
      </c>
      <c r="H268" s="6">
        <f>FLOOR(tblPivotData[[#This Row],[Time]],Summary!$B$6/1440)</f>
        <v>0.35416666666666663</v>
      </c>
      <c r="I268" s="49">
        <f>INDEX(PeakCalc!$L$10:$L$303,MATCH(tblPivotData[[#This Row],[Time]],PeakCalc!$G$10:$G$303,0))</f>
        <v>1</v>
      </c>
    </row>
    <row r="269" spans="1:9" x14ac:dyDescent="0.25">
      <c r="A269" t="s">
        <v>94</v>
      </c>
      <c r="B269" t="s">
        <v>100</v>
      </c>
      <c r="C269" t="s">
        <v>93</v>
      </c>
      <c r="D269" t="s">
        <v>90</v>
      </c>
      <c r="E269" t="s">
        <v>43</v>
      </c>
      <c r="F269" s="6">
        <v>0.36458333333333331</v>
      </c>
      <c r="G269">
        <v>5</v>
      </c>
      <c r="H269" s="6">
        <f>FLOOR(tblPivotData[[#This Row],[Time]],Summary!$B$6/1440)</f>
        <v>0.36458333333333331</v>
      </c>
      <c r="I269" s="49">
        <f>INDEX(PeakCalc!$L$10:$L$303,MATCH(tblPivotData[[#This Row],[Time]],PeakCalc!$G$10:$G$303,0))</f>
        <v>1</v>
      </c>
    </row>
    <row r="270" spans="1:9" x14ac:dyDescent="0.25">
      <c r="A270" t="s">
        <v>94</v>
      </c>
      <c r="B270" t="s">
        <v>100</v>
      </c>
      <c r="C270" t="s">
        <v>93</v>
      </c>
      <c r="D270" t="s">
        <v>90</v>
      </c>
      <c r="E270" t="s">
        <v>91</v>
      </c>
      <c r="F270" s="6">
        <v>0.54166666666666663</v>
      </c>
      <c r="G270">
        <v>3</v>
      </c>
      <c r="H270" s="6">
        <f>FLOOR(tblPivotData[[#This Row],[Time]],Summary!$B$6/1440)</f>
        <v>0.54166666666666663</v>
      </c>
      <c r="I270" s="49">
        <f>INDEX(PeakCalc!$L$10:$L$303,MATCH(tblPivotData[[#This Row],[Time]],PeakCalc!$G$10:$G$303,0))</f>
        <v>1</v>
      </c>
    </row>
    <row r="271" spans="1:9" x14ac:dyDescent="0.25">
      <c r="A271" t="s">
        <v>94</v>
      </c>
      <c r="B271" t="s">
        <v>100</v>
      </c>
      <c r="C271" t="s">
        <v>93</v>
      </c>
      <c r="D271" t="s">
        <v>90</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100</v>
      </c>
      <c r="C272" t="s">
        <v>93</v>
      </c>
      <c r="D272" t="s">
        <v>90</v>
      </c>
      <c r="E272" t="s">
        <v>91</v>
      </c>
      <c r="F272" s="6">
        <v>0.5625</v>
      </c>
      <c r="G272">
        <v>1</v>
      </c>
      <c r="H272" s="6">
        <f>FLOOR(tblPivotData[[#This Row],[Time]],Summary!$B$6/1440)</f>
        <v>0.5625</v>
      </c>
      <c r="I272" s="49">
        <f>INDEX(PeakCalc!$L$10:$L$303,MATCH(tblPivotData[[#This Row],[Time]],PeakCalc!$G$10:$G$303,0))</f>
        <v>1</v>
      </c>
    </row>
    <row r="273" spans="1:9" x14ac:dyDescent="0.25">
      <c r="A273" t="s">
        <v>94</v>
      </c>
      <c r="B273" t="s">
        <v>100</v>
      </c>
      <c r="C273" t="s">
        <v>93</v>
      </c>
      <c r="D273" t="s">
        <v>90</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100</v>
      </c>
      <c r="C274" t="s">
        <v>93</v>
      </c>
      <c r="D274" t="s">
        <v>90</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94</v>
      </c>
      <c r="B275" t="s">
        <v>100</v>
      </c>
      <c r="C275" t="s">
        <v>93</v>
      </c>
      <c r="D275" t="s">
        <v>90</v>
      </c>
      <c r="E275" t="s">
        <v>44</v>
      </c>
      <c r="F275" s="6">
        <v>0.67708333333333337</v>
      </c>
      <c r="G275">
        <v>2</v>
      </c>
      <c r="H275" s="6">
        <f>FLOOR(tblPivotData[[#This Row],[Time]],Summary!$B$6/1440)</f>
        <v>0.67708333333333326</v>
      </c>
      <c r="I275" s="49">
        <f>INDEX(PeakCalc!$L$10:$L$303,MATCH(tblPivotData[[#This Row],[Time]],PeakCalc!$G$10:$G$303,0))</f>
        <v>0</v>
      </c>
    </row>
    <row r="276" spans="1:9" x14ac:dyDescent="0.25">
      <c r="A276" t="s">
        <v>94</v>
      </c>
      <c r="B276" t="s">
        <v>100</v>
      </c>
      <c r="C276" t="s">
        <v>93</v>
      </c>
      <c r="D276" t="s">
        <v>90</v>
      </c>
      <c r="E276" t="s">
        <v>44</v>
      </c>
      <c r="F276" s="6">
        <v>0.6875</v>
      </c>
      <c r="G276">
        <v>2</v>
      </c>
      <c r="H276" s="6">
        <f>FLOOR(tblPivotData[[#This Row],[Time]],Summary!$B$6/1440)</f>
        <v>0.6875</v>
      </c>
      <c r="I276" s="49">
        <f>INDEX(PeakCalc!$L$10:$L$303,MATCH(tblPivotData[[#This Row],[Time]],PeakCalc!$G$10:$G$303,0))</f>
        <v>0</v>
      </c>
    </row>
    <row r="277" spans="1:9" x14ac:dyDescent="0.25">
      <c r="A277" t="s">
        <v>94</v>
      </c>
      <c r="B277" t="s">
        <v>100</v>
      </c>
      <c r="C277" t="s">
        <v>93</v>
      </c>
      <c r="D277" t="s">
        <v>90</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100</v>
      </c>
      <c r="C278" t="s">
        <v>93</v>
      </c>
      <c r="D278" t="s">
        <v>90</v>
      </c>
      <c r="E278" t="s">
        <v>44</v>
      </c>
      <c r="F278" s="6">
        <v>0.70833333333333337</v>
      </c>
      <c r="G278">
        <v>2</v>
      </c>
      <c r="H278" s="6">
        <f>FLOOR(tblPivotData[[#This Row],[Time]],Summary!$B$6/1440)</f>
        <v>0.70833333333333326</v>
      </c>
      <c r="I278" s="49">
        <f>INDEX(PeakCalc!$L$10:$L$303,MATCH(tblPivotData[[#This Row],[Time]],PeakCalc!$G$10:$G$303,0))</f>
        <v>1</v>
      </c>
    </row>
    <row r="279" spans="1:9" x14ac:dyDescent="0.25">
      <c r="A279" t="s">
        <v>94</v>
      </c>
      <c r="B279" t="s">
        <v>100</v>
      </c>
      <c r="C279" t="s">
        <v>93</v>
      </c>
      <c r="D279" t="s">
        <v>90</v>
      </c>
      <c r="E279" t="s">
        <v>44</v>
      </c>
      <c r="F279" s="6">
        <v>0.71875</v>
      </c>
      <c r="G279">
        <v>6</v>
      </c>
      <c r="H279" s="6">
        <f>FLOOR(tblPivotData[[#This Row],[Time]],Summary!$B$6/1440)</f>
        <v>0.71875</v>
      </c>
      <c r="I279" s="49">
        <f>INDEX(PeakCalc!$L$10:$L$303,MATCH(tblPivotData[[#This Row],[Time]],PeakCalc!$G$10:$G$303,0))</f>
        <v>1</v>
      </c>
    </row>
    <row r="280" spans="1:9" x14ac:dyDescent="0.25">
      <c r="A280" t="s">
        <v>94</v>
      </c>
      <c r="B280" t="s">
        <v>100</v>
      </c>
      <c r="C280" t="s">
        <v>93</v>
      </c>
      <c r="D280" t="s">
        <v>90</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100</v>
      </c>
      <c r="C281" t="s">
        <v>93</v>
      </c>
      <c r="D281" t="s">
        <v>90</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93</v>
      </c>
      <c r="D282" t="s">
        <v>88</v>
      </c>
      <c r="E282" t="s">
        <v>43</v>
      </c>
      <c r="F282" s="6">
        <v>0.29166666666666669</v>
      </c>
      <c r="G282">
        <v>4</v>
      </c>
      <c r="H282" s="6">
        <f>FLOOR(tblPivotData[[#This Row],[Time]],Summary!$B$6/1440)</f>
        <v>0.29166666666666663</v>
      </c>
      <c r="I282" s="49">
        <f>INDEX(PeakCalc!$L$10:$L$303,MATCH(tblPivotData[[#This Row],[Time]],PeakCalc!$G$10:$G$303,0))</f>
        <v>0</v>
      </c>
    </row>
    <row r="283" spans="1:9" x14ac:dyDescent="0.25">
      <c r="A283" t="s">
        <v>94</v>
      </c>
      <c r="B283" t="s">
        <v>100</v>
      </c>
      <c r="C283" t="s">
        <v>93</v>
      </c>
      <c r="D283" t="s">
        <v>88</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100</v>
      </c>
      <c r="C284" t="s">
        <v>93</v>
      </c>
      <c r="D284" t="s">
        <v>88</v>
      </c>
      <c r="E284" t="s">
        <v>43</v>
      </c>
      <c r="F284" s="6">
        <v>0.3125</v>
      </c>
      <c r="G284">
        <v>6</v>
      </c>
      <c r="H284" s="6">
        <f>FLOOR(tblPivotData[[#This Row],[Time]],Summary!$B$6/1440)</f>
        <v>0.3125</v>
      </c>
      <c r="I284" s="49">
        <f>INDEX(PeakCalc!$L$10:$L$303,MATCH(tblPivotData[[#This Row],[Time]],PeakCalc!$G$10:$G$303,0))</f>
        <v>0</v>
      </c>
    </row>
    <row r="285" spans="1:9" x14ac:dyDescent="0.25">
      <c r="A285" t="s">
        <v>94</v>
      </c>
      <c r="B285" t="s">
        <v>100</v>
      </c>
      <c r="C285" t="s">
        <v>93</v>
      </c>
      <c r="D285" t="s">
        <v>88</v>
      </c>
      <c r="E285" t="s">
        <v>43</v>
      </c>
      <c r="F285" s="6">
        <v>0.32291666666666669</v>
      </c>
      <c r="G285">
        <v>2</v>
      </c>
      <c r="H285" s="6">
        <f>FLOOR(tblPivotData[[#This Row],[Time]],Summary!$B$6/1440)</f>
        <v>0.32291666666666663</v>
      </c>
      <c r="I285" s="49">
        <f>INDEX(PeakCalc!$L$10:$L$303,MATCH(tblPivotData[[#This Row],[Time]],PeakCalc!$G$10:$G$303,0))</f>
        <v>0</v>
      </c>
    </row>
    <row r="286" spans="1:9" x14ac:dyDescent="0.25">
      <c r="A286" t="s">
        <v>94</v>
      </c>
      <c r="B286" t="s">
        <v>100</v>
      </c>
      <c r="C286" t="s">
        <v>93</v>
      </c>
      <c r="D286" t="s">
        <v>88</v>
      </c>
      <c r="E286" t="s">
        <v>43</v>
      </c>
      <c r="F286" s="6">
        <v>0.33333333333333331</v>
      </c>
      <c r="G286">
        <v>8</v>
      </c>
      <c r="H286" s="6">
        <f>FLOOR(tblPivotData[[#This Row],[Time]],Summary!$B$6/1440)</f>
        <v>0.33333333333333331</v>
      </c>
      <c r="I286" s="49">
        <f>INDEX(PeakCalc!$L$10:$L$303,MATCH(tblPivotData[[#This Row],[Time]],PeakCalc!$G$10:$G$303,0))</f>
        <v>1</v>
      </c>
    </row>
    <row r="287" spans="1:9" x14ac:dyDescent="0.25">
      <c r="A287" t="s">
        <v>94</v>
      </c>
      <c r="B287" t="s">
        <v>100</v>
      </c>
      <c r="C287" t="s">
        <v>93</v>
      </c>
      <c r="D287" t="s">
        <v>88</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100</v>
      </c>
      <c r="C288" t="s">
        <v>93</v>
      </c>
      <c r="D288" t="s">
        <v>88</v>
      </c>
      <c r="E288" t="s">
        <v>43</v>
      </c>
      <c r="F288" s="6">
        <v>0.35416666666666669</v>
      </c>
      <c r="G288">
        <v>9</v>
      </c>
      <c r="H288" s="6">
        <f>FLOOR(tblPivotData[[#This Row],[Time]],Summary!$B$6/1440)</f>
        <v>0.35416666666666663</v>
      </c>
      <c r="I288" s="49">
        <f>INDEX(PeakCalc!$L$10:$L$303,MATCH(tblPivotData[[#This Row],[Time]],PeakCalc!$G$10:$G$303,0))</f>
        <v>1</v>
      </c>
    </row>
    <row r="289" spans="1:9" x14ac:dyDescent="0.25">
      <c r="A289" t="s">
        <v>94</v>
      </c>
      <c r="B289" t="s">
        <v>100</v>
      </c>
      <c r="C289" t="s">
        <v>93</v>
      </c>
      <c r="D289" t="s">
        <v>88</v>
      </c>
      <c r="E289" t="s">
        <v>43</v>
      </c>
      <c r="F289" s="6">
        <v>0.36458333333333331</v>
      </c>
      <c r="G289">
        <v>6</v>
      </c>
      <c r="H289" s="6">
        <f>FLOOR(tblPivotData[[#This Row],[Time]],Summary!$B$6/1440)</f>
        <v>0.36458333333333331</v>
      </c>
      <c r="I289" s="49">
        <f>INDEX(PeakCalc!$L$10:$L$303,MATCH(tblPivotData[[#This Row],[Time]],PeakCalc!$G$10:$G$303,0))</f>
        <v>1</v>
      </c>
    </row>
    <row r="290" spans="1:9" x14ac:dyDescent="0.25">
      <c r="A290" t="s">
        <v>94</v>
      </c>
      <c r="B290" t="s">
        <v>100</v>
      </c>
      <c r="C290" t="s">
        <v>93</v>
      </c>
      <c r="D290" t="s">
        <v>88</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94</v>
      </c>
      <c r="B291" t="s">
        <v>100</v>
      </c>
      <c r="C291" t="s">
        <v>93</v>
      </c>
      <c r="D291" t="s">
        <v>88</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100</v>
      </c>
      <c r="C292" t="s">
        <v>93</v>
      </c>
      <c r="D292" t="s">
        <v>88</v>
      </c>
      <c r="E292" t="s">
        <v>91</v>
      </c>
      <c r="F292" s="6">
        <v>0.5625</v>
      </c>
      <c r="G292">
        <v>2</v>
      </c>
      <c r="H292" s="6">
        <f>FLOOR(tblPivotData[[#This Row],[Time]],Summary!$B$6/1440)</f>
        <v>0.5625</v>
      </c>
      <c r="I292" s="49">
        <f>INDEX(PeakCalc!$L$10:$L$303,MATCH(tblPivotData[[#This Row],[Time]],PeakCalc!$G$10:$G$303,0))</f>
        <v>1</v>
      </c>
    </row>
    <row r="293" spans="1:9" x14ac:dyDescent="0.25">
      <c r="A293" t="s">
        <v>94</v>
      </c>
      <c r="B293" t="s">
        <v>100</v>
      </c>
      <c r="C293" t="s">
        <v>93</v>
      </c>
      <c r="D293" t="s">
        <v>88</v>
      </c>
      <c r="E293" t="s">
        <v>91</v>
      </c>
      <c r="F293" s="6">
        <v>0.57291666666666663</v>
      </c>
      <c r="G293">
        <v>2</v>
      </c>
      <c r="H293" s="6">
        <f>FLOOR(tblPivotData[[#This Row],[Time]],Summary!$B$6/1440)</f>
        <v>0.57291666666666663</v>
      </c>
      <c r="I293" s="49">
        <f>INDEX(PeakCalc!$L$10:$L$303,MATCH(tblPivotData[[#This Row],[Time]],PeakCalc!$G$10:$G$303,0))</f>
        <v>1</v>
      </c>
    </row>
    <row r="294" spans="1:9" x14ac:dyDescent="0.25">
      <c r="A294" t="s">
        <v>94</v>
      </c>
      <c r="B294" t="s">
        <v>100</v>
      </c>
      <c r="C294" t="s">
        <v>93</v>
      </c>
      <c r="D294" t="s">
        <v>88</v>
      </c>
      <c r="E294" t="s">
        <v>44</v>
      </c>
      <c r="F294" s="6">
        <v>0.66666666666666663</v>
      </c>
      <c r="G294">
        <v>3</v>
      </c>
      <c r="H294" s="6">
        <f>FLOOR(tblPivotData[[#This Row],[Time]],Summary!$B$6/1440)</f>
        <v>0.66666666666666663</v>
      </c>
      <c r="I294" s="49">
        <f>INDEX(PeakCalc!$L$10:$L$303,MATCH(tblPivotData[[#This Row],[Time]],PeakCalc!$G$10:$G$303,0))</f>
        <v>0</v>
      </c>
    </row>
    <row r="295" spans="1:9" x14ac:dyDescent="0.25">
      <c r="A295" t="s">
        <v>94</v>
      </c>
      <c r="B295" t="s">
        <v>100</v>
      </c>
      <c r="C295" t="s">
        <v>93</v>
      </c>
      <c r="D295" t="s">
        <v>88</v>
      </c>
      <c r="E295" t="s">
        <v>44</v>
      </c>
      <c r="F295" s="6">
        <v>0.67708333333333337</v>
      </c>
      <c r="G295">
        <v>4</v>
      </c>
      <c r="H295" s="6">
        <f>FLOOR(tblPivotData[[#This Row],[Time]],Summary!$B$6/1440)</f>
        <v>0.67708333333333326</v>
      </c>
      <c r="I295" s="49">
        <f>INDEX(PeakCalc!$L$10:$L$303,MATCH(tblPivotData[[#This Row],[Time]],PeakCalc!$G$10:$G$303,0))</f>
        <v>0</v>
      </c>
    </row>
    <row r="296" spans="1:9" x14ac:dyDescent="0.25">
      <c r="A296" t="s">
        <v>94</v>
      </c>
      <c r="B296" t="s">
        <v>100</v>
      </c>
      <c r="C296" t="s">
        <v>93</v>
      </c>
      <c r="D296" t="s">
        <v>88</v>
      </c>
      <c r="E296" t="s">
        <v>44</v>
      </c>
      <c r="F296" s="6">
        <v>0.6875</v>
      </c>
      <c r="G296">
        <v>1</v>
      </c>
      <c r="H296" s="6">
        <f>FLOOR(tblPivotData[[#This Row],[Time]],Summary!$B$6/1440)</f>
        <v>0.6875</v>
      </c>
      <c r="I296" s="49">
        <f>INDEX(PeakCalc!$L$10:$L$303,MATCH(tblPivotData[[#This Row],[Time]],PeakCalc!$G$10:$G$303,0))</f>
        <v>0</v>
      </c>
    </row>
    <row r="297" spans="1:9" x14ac:dyDescent="0.25">
      <c r="A297" t="s">
        <v>94</v>
      </c>
      <c r="B297" t="s">
        <v>100</v>
      </c>
      <c r="C297" t="s">
        <v>93</v>
      </c>
      <c r="D297" t="s">
        <v>88</v>
      </c>
      <c r="E297" t="s">
        <v>44</v>
      </c>
      <c r="F297" s="6">
        <v>0.69791666666666663</v>
      </c>
      <c r="G297">
        <v>8</v>
      </c>
      <c r="H297" s="6">
        <f>FLOOR(tblPivotData[[#This Row],[Time]],Summary!$B$6/1440)</f>
        <v>0.69791666666666663</v>
      </c>
      <c r="I297" s="49">
        <f>INDEX(PeakCalc!$L$10:$L$303,MATCH(tblPivotData[[#This Row],[Time]],PeakCalc!$G$10:$G$303,0))</f>
        <v>1</v>
      </c>
    </row>
    <row r="298" spans="1:9" x14ac:dyDescent="0.25">
      <c r="A298" t="s">
        <v>94</v>
      </c>
      <c r="B298" t="s">
        <v>100</v>
      </c>
      <c r="C298" t="s">
        <v>93</v>
      </c>
      <c r="D298" t="s">
        <v>88</v>
      </c>
      <c r="E298" t="s">
        <v>44</v>
      </c>
      <c r="F298" s="6">
        <v>0.70833333333333337</v>
      </c>
      <c r="G298">
        <v>3</v>
      </c>
      <c r="H298" s="6">
        <f>FLOOR(tblPivotData[[#This Row],[Time]],Summary!$B$6/1440)</f>
        <v>0.70833333333333326</v>
      </c>
      <c r="I298" s="49">
        <f>INDEX(PeakCalc!$L$10:$L$303,MATCH(tblPivotData[[#This Row],[Time]],PeakCalc!$G$10:$G$303,0))</f>
        <v>1</v>
      </c>
    </row>
    <row r="299" spans="1:9" x14ac:dyDescent="0.25">
      <c r="A299" t="s">
        <v>94</v>
      </c>
      <c r="B299" t="s">
        <v>100</v>
      </c>
      <c r="C299" t="s">
        <v>93</v>
      </c>
      <c r="D299" t="s">
        <v>88</v>
      </c>
      <c r="E299" t="s">
        <v>44</v>
      </c>
      <c r="F299" s="6">
        <v>0.71875</v>
      </c>
      <c r="G299">
        <v>4</v>
      </c>
      <c r="H299" s="6">
        <f>FLOOR(tblPivotData[[#This Row],[Time]],Summary!$B$6/1440)</f>
        <v>0.71875</v>
      </c>
      <c r="I299" s="49">
        <f>INDEX(PeakCalc!$L$10:$L$303,MATCH(tblPivotData[[#This Row],[Time]],PeakCalc!$G$10:$G$303,0))</f>
        <v>1</v>
      </c>
    </row>
    <row r="300" spans="1:9" x14ac:dyDescent="0.25">
      <c r="A300" t="s">
        <v>94</v>
      </c>
      <c r="B300" t="s">
        <v>100</v>
      </c>
      <c r="C300" t="s">
        <v>93</v>
      </c>
      <c r="D300" t="s">
        <v>88</v>
      </c>
      <c r="E300" t="s">
        <v>44</v>
      </c>
      <c r="F300" s="6">
        <v>0.72916666666666663</v>
      </c>
      <c r="G300">
        <v>9</v>
      </c>
      <c r="H300" s="6">
        <f>FLOOR(tblPivotData[[#This Row],[Time]],Summary!$B$6/1440)</f>
        <v>0.72916666666666663</v>
      </c>
      <c r="I300" s="49">
        <f>INDEX(PeakCalc!$L$10:$L$303,MATCH(tblPivotData[[#This Row],[Time]],PeakCalc!$G$10:$G$303,0))</f>
        <v>1</v>
      </c>
    </row>
    <row r="301" spans="1:9" x14ac:dyDescent="0.25">
      <c r="A301" t="s">
        <v>94</v>
      </c>
      <c r="B301" t="s">
        <v>100</v>
      </c>
      <c r="C301" t="s">
        <v>93</v>
      </c>
      <c r="D301" t="s">
        <v>88</v>
      </c>
      <c r="E301" t="s">
        <v>44</v>
      </c>
      <c r="F301" s="6">
        <v>0.73958333333333337</v>
      </c>
      <c r="G301">
        <v>6</v>
      </c>
      <c r="H301" s="6">
        <f>FLOOR(tblPivotData[[#This Row],[Time]],Summary!$B$6/1440)</f>
        <v>0.73958333333333326</v>
      </c>
      <c r="I301" s="49">
        <f>INDEX(PeakCalc!$L$10:$L$303,MATCH(tblPivotData[[#This Row],[Time]],PeakCalc!$G$10:$G$303,0))</f>
        <v>0</v>
      </c>
    </row>
    <row r="302" spans="1:9" x14ac:dyDescent="0.25">
      <c r="A302" t="s">
        <v>94</v>
      </c>
      <c r="B302" t="s">
        <v>101</v>
      </c>
      <c r="C302" t="s">
        <v>96</v>
      </c>
      <c r="D302" t="s">
        <v>79</v>
      </c>
      <c r="E302" t="s">
        <v>43</v>
      </c>
      <c r="F302" s="6">
        <v>0.29166666666666669</v>
      </c>
      <c r="G302">
        <v>4</v>
      </c>
      <c r="H302" s="6">
        <f>FLOOR(tblPivotData[[#This Row],[Time]],Summary!$B$6/1440)</f>
        <v>0.29166666666666663</v>
      </c>
      <c r="I302" s="49">
        <f>INDEX(PeakCalc!$L$10:$L$303,MATCH(tblPivotData[[#This Row],[Time]],PeakCalc!$G$10:$G$303,0))</f>
        <v>0</v>
      </c>
    </row>
    <row r="303" spans="1:9" x14ac:dyDescent="0.25">
      <c r="A303" t="s">
        <v>94</v>
      </c>
      <c r="B303" t="s">
        <v>101</v>
      </c>
      <c r="C303" t="s">
        <v>96</v>
      </c>
      <c r="D303" t="s">
        <v>79</v>
      </c>
      <c r="E303" t="s">
        <v>43</v>
      </c>
      <c r="F303" s="6">
        <v>0.30208333333333331</v>
      </c>
      <c r="G303">
        <v>9</v>
      </c>
      <c r="H303" s="6">
        <f>FLOOR(tblPivotData[[#This Row],[Time]],Summary!$B$6/1440)</f>
        <v>0.30208333333333331</v>
      </c>
      <c r="I303" s="49">
        <f>INDEX(PeakCalc!$L$10:$L$303,MATCH(tblPivotData[[#This Row],[Time]],PeakCalc!$G$10:$G$303,0))</f>
        <v>0</v>
      </c>
    </row>
    <row r="304" spans="1:9" x14ac:dyDescent="0.25">
      <c r="A304" t="s">
        <v>94</v>
      </c>
      <c r="B304" t="s">
        <v>101</v>
      </c>
      <c r="C304" t="s">
        <v>96</v>
      </c>
      <c r="D304" t="s">
        <v>79</v>
      </c>
      <c r="E304" t="s">
        <v>43</v>
      </c>
      <c r="F304" s="6">
        <v>0.3125</v>
      </c>
      <c r="G304">
        <v>8</v>
      </c>
      <c r="H304" s="6">
        <f>FLOOR(tblPivotData[[#This Row],[Time]],Summary!$B$6/1440)</f>
        <v>0.3125</v>
      </c>
      <c r="I304" s="49">
        <f>INDEX(PeakCalc!$L$10:$L$303,MATCH(tblPivotData[[#This Row],[Time]],PeakCalc!$G$10:$G$303,0))</f>
        <v>0</v>
      </c>
    </row>
    <row r="305" spans="1:9" x14ac:dyDescent="0.25">
      <c r="A305" t="s">
        <v>94</v>
      </c>
      <c r="B305" t="s">
        <v>101</v>
      </c>
      <c r="C305" t="s">
        <v>96</v>
      </c>
      <c r="D305" t="s">
        <v>79</v>
      </c>
      <c r="E305" t="s">
        <v>43</v>
      </c>
      <c r="F305" s="6">
        <v>0.32291666666666669</v>
      </c>
      <c r="G305">
        <v>5</v>
      </c>
      <c r="H305" s="6">
        <f>FLOOR(tblPivotData[[#This Row],[Time]],Summary!$B$6/1440)</f>
        <v>0.32291666666666663</v>
      </c>
      <c r="I305" s="49">
        <f>INDEX(PeakCalc!$L$10:$L$303,MATCH(tblPivotData[[#This Row],[Time]],PeakCalc!$G$10:$G$303,0))</f>
        <v>0</v>
      </c>
    </row>
    <row r="306" spans="1:9" x14ac:dyDescent="0.25">
      <c r="A306" t="s">
        <v>94</v>
      </c>
      <c r="B306" t="s">
        <v>101</v>
      </c>
      <c r="C306" t="s">
        <v>96</v>
      </c>
      <c r="D306" t="s">
        <v>79</v>
      </c>
      <c r="E306" t="s">
        <v>43</v>
      </c>
      <c r="F306" s="6">
        <v>0.33333333333333331</v>
      </c>
      <c r="G306">
        <v>6</v>
      </c>
      <c r="H306" s="6">
        <f>FLOOR(tblPivotData[[#This Row],[Time]],Summary!$B$6/1440)</f>
        <v>0.33333333333333331</v>
      </c>
      <c r="I306" s="49">
        <f>INDEX(PeakCalc!$L$10:$L$303,MATCH(tblPivotData[[#This Row],[Time]],PeakCalc!$G$10:$G$303,0))</f>
        <v>1</v>
      </c>
    </row>
    <row r="307" spans="1:9" x14ac:dyDescent="0.25">
      <c r="A307" t="s">
        <v>94</v>
      </c>
      <c r="B307" t="s">
        <v>101</v>
      </c>
      <c r="C307" t="s">
        <v>96</v>
      </c>
      <c r="D307" t="s">
        <v>79</v>
      </c>
      <c r="E307" t="s">
        <v>43</v>
      </c>
      <c r="F307" s="6">
        <v>0.34375</v>
      </c>
      <c r="G307">
        <v>8</v>
      </c>
      <c r="H307" s="6">
        <f>FLOOR(tblPivotData[[#This Row],[Time]],Summary!$B$6/1440)</f>
        <v>0.34375</v>
      </c>
      <c r="I307" s="49">
        <f>INDEX(PeakCalc!$L$10:$L$303,MATCH(tblPivotData[[#This Row],[Time]],PeakCalc!$G$10:$G$303,0))</f>
        <v>1</v>
      </c>
    </row>
    <row r="308" spans="1:9" x14ac:dyDescent="0.25">
      <c r="A308" t="s">
        <v>94</v>
      </c>
      <c r="B308" t="s">
        <v>101</v>
      </c>
      <c r="C308" t="s">
        <v>96</v>
      </c>
      <c r="D308" t="s">
        <v>79</v>
      </c>
      <c r="E308" t="s">
        <v>43</v>
      </c>
      <c r="F308" s="6">
        <v>0.35416666666666669</v>
      </c>
      <c r="G308">
        <v>4</v>
      </c>
      <c r="H308" s="6">
        <f>FLOOR(tblPivotData[[#This Row],[Time]],Summary!$B$6/1440)</f>
        <v>0.35416666666666663</v>
      </c>
      <c r="I308" s="49">
        <f>INDEX(PeakCalc!$L$10:$L$303,MATCH(tblPivotData[[#This Row],[Time]],PeakCalc!$G$10:$G$303,0))</f>
        <v>1</v>
      </c>
    </row>
    <row r="309" spans="1:9" x14ac:dyDescent="0.25">
      <c r="A309" t="s">
        <v>94</v>
      </c>
      <c r="B309" t="s">
        <v>101</v>
      </c>
      <c r="C309" t="s">
        <v>96</v>
      </c>
      <c r="D309" t="s">
        <v>79</v>
      </c>
      <c r="E309" t="s">
        <v>43</v>
      </c>
      <c r="F309" s="6">
        <v>0.36458333333333331</v>
      </c>
      <c r="G309">
        <v>9</v>
      </c>
      <c r="H309" s="6">
        <f>FLOOR(tblPivotData[[#This Row],[Time]],Summary!$B$6/1440)</f>
        <v>0.36458333333333331</v>
      </c>
      <c r="I309" s="49">
        <f>INDEX(PeakCalc!$L$10:$L$303,MATCH(tblPivotData[[#This Row],[Time]],PeakCalc!$G$10:$G$303,0))</f>
        <v>1</v>
      </c>
    </row>
    <row r="310" spans="1:9" x14ac:dyDescent="0.25">
      <c r="A310" t="s">
        <v>94</v>
      </c>
      <c r="B310" t="s">
        <v>101</v>
      </c>
      <c r="C310" t="s">
        <v>96</v>
      </c>
      <c r="D310" t="s">
        <v>79</v>
      </c>
      <c r="E310" t="s">
        <v>91</v>
      </c>
      <c r="F310" s="6">
        <v>0.54166666666666663</v>
      </c>
      <c r="G310">
        <v>11</v>
      </c>
      <c r="H310" s="6">
        <f>FLOOR(tblPivotData[[#This Row],[Time]],Summary!$B$6/1440)</f>
        <v>0.54166666666666663</v>
      </c>
      <c r="I310" s="49">
        <f>INDEX(PeakCalc!$L$10:$L$303,MATCH(tblPivotData[[#This Row],[Time]],PeakCalc!$G$10:$G$303,0))</f>
        <v>1</v>
      </c>
    </row>
    <row r="311" spans="1:9" x14ac:dyDescent="0.25">
      <c r="A311" t="s">
        <v>94</v>
      </c>
      <c r="B311" t="s">
        <v>101</v>
      </c>
      <c r="C311" t="s">
        <v>96</v>
      </c>
      <c r="D311" t="s">
        <v>79</v>
      </c>
      <c r="E311" t="s">
        <v>91</v>
      </c>
      <c r="F311" s="6">
        <v>0.55208333333333337</v>
      </c>
      <c r="G311">
        <v>13</v>
      </c>
      <c r="H311" s="6">
        <f>FLOOR(tblPivotData[[#This Row],[Time]],Summary!$B$6/1440)</f>
        <v>0.55208333333333326</v>
      </c>
      <c r="I311" s="49">
        <f>INDEX(PeakCalc!$L$10:$L$303,MATCH(tblPivotData[[#This Row],[Time]],PeakCalc!$G$10:$G$303,0))</f>
        <v>1</v>
      </c>
    </row>
    <row r="312" spans="1:9" x14ac:dyDescent="0.25">
      <c r="A312" t="s">
        <v>94</v>
      </c>
      <c r="B312" t="s">
        <v>101</v>
      </c>
      <c r="C312" t="s">
        <v>96</v>
      </c>
      <c r="D312" t="s">
        <v>79</v>
      </c>
      <c r="E312" t="s">
        <v>91</v>
      </c>
      <c r="F312" s="6">
        <v>0.5625</v>
      </c>
      <c r="G312">
        <v>9</v>
      </c>
      <c r="H312" s="6">
        <f>FLOOR(tblPivotData[[#This Row],[Time]],Summary!$B$6/1440)</f>
        <v>0.5625</v>
      </c>
      <c r="I312" s="49">
        <f>INDEX(PeakCalc!$L$10:$L$303,MATCH(tblPivotData[[#This Row],[Time]],PeakCalc!$G$10:$G$303,0))</f>
        <v>1</v>
      </c>
    </row>
    <row r="313" spans="1:9" x14ac:dyDescent="0.25">
      <c r="A313" t="s">
        <v>94</v>
      </c>
      <c r="B313" t="s">
        <v>101</v>
      </c>
      <c r="C313" t="s">
        <v>96</v>
      </c>
      <c r="D313" t="s">
        <v>79</v>
      </c>
      <c r="E313" t="s">
        <v>91</v>
      </c>
      <c r="F313" s="6">
        <v>0.57291666666666663</v>
      </c>
      <c r="G313">
        <v>7</v>
      </c>
      <c r="H313" s="6">
        <f>FLOOR(tblPivotData[[#This Row],[Time]],Summary!$B$6/1440)</f>
        <v>0.57291666666666663</v>
      </c>
      <c r="I313" s="49">
        <f>INDEX(PeakCalc!$L$10:$L$303,MATCH(tblPivotData[[#This Row],[Time]],PeakCalc!$G$10:$G$303,0))</f>
        <v>1</v>
      </c>
    </row>
    <row r="314" spans="1:9" x14ac:dyDescent="0.25">
      <c r="A314" t="s">
        <v>94</v>
      </c>
      <c r="B314" t="s">
        <v>101</v>
      </c>
      <c r="C314" t="s">
        <v>96</v>
      </c>
      <c r="D314" t="s">
        <v>79</v>
      </c>
      <c r="E314" t="s">
        <v>44</v>
      </c>
      <c r="F314" s="6">
        <v>0.66666666666666663</v>
      </c>
      <c r="G314">
        <v>21</v>
      </c>
      <c r="H314" s="6">
        <f>FLOOR(tblPivotData[[#This Row],[Time]],Summary!$B$6/1440)</f>
        <v>0.66666666666666663</v>
      </c>
      <c r="I314" s="49">
        <f>INDEX(PeakCalc!$L$10:$L$303,MATCH(tblPivotData[[#This Row],[Time]],PeakCalc!$G$10:$G$303,0))</f>
        <v>0</v>
      </c>
    </row>
    <row r="315" spans="1:9" x14ac:dyDescent="0.25">
      <c r="A315" t="s">
        <v>94</v>
      </c>
      <c r="B315" t="s">
        <v>101</v>
      </c>
      <c r="C315" t="s">
        <v>96</v>
      </c>
      <c r="D315" t="s">
        <v>79</v>
      </c>
      <c r="E315" t="s">
        <v>44</v>
      </c>
      <c r="F315" s="6">
        <v>0.67708333333333337</v>
      </c>
      <c r="G315">
        <v>18</v>
      </c>
      <c r="H315" s="6">
        <f>FLOOR(tblPivotData[[#This Row],[Time]],Summary!$B$6/1440)</f>
        <v>0.67708333333333326</v>
      </c>
      <c r="I315" s="49">
        <f>INDEX(PeakCalc!$L$10:$L$303,MATCH(tblPivotData[[#This Row],[Time]],PeakCalc!$G$10:$G$303,0))</f>
        <v>0</v>
      </c>
    </row>
    <row r="316" spans="1:9" x14ac:dyDescent="0.25">
      <c r="A316" t="s">
        <v>94</v>
      </c>
      <c r="B316" t="s">
        <v>101</v>
      </c>
      <c r="C316" t="s">
        <v>96</v>
      </c>
      <c r="D316" t="s">
        <v>79</v>
      </c>
      <c r="E316" t="s">
        <v>44</v>
      </c>
      <c r="F316" s="6">
        <v>0.6875</v>
      </c>
      <c r="G316">
        <v>15</v>
      </c>
      <c r="H316" s="6">
        <f>FLOOR(tblPivotData[[#This Row],[Time]],Summary!$B$6/1440)</f>
        <v>0.6875</v>
      </c>
      <c r="I316" s="49">
        <f>INDEX(PeakCalc!$L$10:$L$303,MATCH(tblPivotData[[#This Row],[Time]],PeakCalc!$G$10:$G$303,0))</f>
        <v>0</v>
      </c>
    </row>
    <row r="317" spans="1:9" x14ac:dyDescent="0.25">
      <c r="A317" t="s">
        <v>94</v>
      </c>
      <c r="B317" t="s">
        <v>101</v>
      </c>
      <c r="C317" t="s">
        <v>96</v>
      </c>
      <c r="D317" t="s">
        <v>79</v>
      </c>
      <c r="E317" t="s">
        <v>44</v>
      </c>
      <c r="F317" s="6">
        <v>0.69791666666666663</v>
      </c>
      <c r="G317">
        <v>31</v>
      </c>
      <c r="H317" s="6">
        <f>FLOOR(tblPivotData[[#This Row],[Time]],Summary!$B$6/1440)</f>
        <v>0.69791666666666663</v>
      </c>
      <c r="I317" s="49">
        <f>INDEX(PeakCalc!$L$10:$L$303,MATCH(tblPivotData[[#This Row],[Time]],PeakCalc!$G$10:$G$303,0))</f>
        <v>1</v>
      </c>
    </row>
    <row r="318" spans="1:9" x14ac:dyDescent="0.25">
      <c r="A318" t="s">
        <v>94</v>
      </c>
      <c r="B318" t="s">
        <v>101</v>
      </c>
      <c r="C318" t="s">
        <v>96</v>
      </c>
      <c r="D318" t="s">
        <v>79</v>
      </c>
      <c r="E318" t="s">
        <v>44</v>
      </c>
      <c r="F318" s="6">
        <v>0.70833333333333337</v>
      </c>
      <c r="G318">
        <v>26</v>
      </c>
      <c r="H318" s="6">
        <f>FLOOR(tblPivotData[[#This Row],[Time]],Summary!$B$6/1440)</f>
        <v>0.70833333333333326</v>
      </c>
      <c r="I318" s="49">
        <f>INDEX(PeakCalc!$L$10:$L$303,MATCH(tblPivotData[[#This Row],[Time]],PeakCalc!$G$10:$G$303,0))</f>
        <v>1</v>
      </c>
    </row>
    <row r="319" spans="1:9" x14ac:dyDescent="0.25">
      <c r="A319" t="s">
        <v>94</v>
      </c>
      <c r="B319" t="s">
        <v>101</v>
      </c>
      <c r="C319" t="s">
        <v>96</v>
      </c>
      <c r="D319" t="s">
        <v>79</v>
      </c>
      <c r="E319" t="s">
        <v>44</v>
      </c>
      <c r="F319" s="6">
        <v>0.71875</v>
      </c>
      <c r="G319">
        <v>18</v>
      </c>
      <c r="H319" s="6">
        <f>FLOOR(tblPivotData[[#This Row],[Time]],Summary!$B$6/1440)</f>
        <v>0.71875</v>
      </c>
      <c r="I319" s="49">
        <f>INDEX(PeakCalc!$L$10:$L$303,MATCH(tblPivotData[[#This Row],[Time]],PeakCalc!$G$10:$G$303,0))</f>
        <v>1</v>
      </c>
    </row>
    <row r="320" spans="1:9" x14ac:dyDescent="0.25">
      <c r="A320" t="s">
        <v>94</v>
      </c>
      <c r="B320" t="s">
        <v>101</v>
      </c>
      <c r="C320" t="s">
        <v>96</v>
      </c>
      <c r="D320" t="s">
        <v>79</v>
      </c>
      <c r="E320" t="s">
        <v>44</v>
      </c>
      <c r="F320" s="6">
        <v>0.72916666666666663</v>
      </c>
      <c r="G320">
        <v>33</v>
      </c>
      <c r="H320" s="6">
        <f>FLOOR(tblPivotData[[#This Row],[Time]],Summary!$B$6/1440)</f>
        <v>0.72916666666666663</v>
      </c>
      <c r="I320" s="49">
        <f>INDEX(PeakCalc!$L$10:$L$303,MATCH(tblPivotData[[#This Row],[Time]],PeakCalc!$G$10:$G$303,0))</f>
        <v>1</v>
      </c>
    </row>
    <row r="321" spans="1:9" x14ac:dyDescent="0.25">
      <c r="A321" t="s">
        <v>94</v>
      </c>
      <c r="B321" t="s">
        <v>101</v>
      </c>
      <c r="C321" t="s">
        <v>96</v>
      </c>
      <c r="D321" t="s">
        <v>79</v>
      </c>
      <c r="E321" t="s">
        <v>44</v>
      </c>
      <c r="F321" s="6">
        <v>0.73958333333333337</v>
      </c>
      <c r="G321">
        <v>15</v>
      </c>
      <c r="H321" s="6">
        <f>FLOOR(tblPivotData[[#This Row],[Time]],Summary!$B$6/1440)</f>
        <v>0.73958333333333326</v>
      </c>
      <c r="I321" s="49">
        <f>INDEX(PeakCalc!$L$10:$L$303,MATCH(tblPivotData[[#This Row],[Time]],PeakCalc!$G$10:$G$303,0))</f>
        <v>0</v>
      </c>
    </row>
    <row r="322" spans="1:9" x14ac:dyDescent="0.25">
      <c r="A322" t="s">
        <v>94</v>
      </c>
      <c r="B322" t="s">
        <v>101</v>
      </c>
      <c r="C322" t="s">
        <v>96</v>
      </c>
      <c r="D322" t="s">
        <v>90</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101</v>
      </c>
      <c r="C323" t="s">
        <v>96</v>
      </c>
      <c r="D323" t="s">
        <v>90</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101</v>
      </c>
      <c r="C324" t="s">
        <v>96</v>
      </c>
      <c r="D324" t="s">
        <v>90</v>
      </c>
      <c r="E324" t="s">
        <v>43</v>
      </c>
      <c r="F324" s="6">
        <v>0.3125</v>
      </c>
      <c r="G324">
        <v>2</v>
      </c>
      <c r="H324" s="6">
        <f>FLOOR(tblPivotData[[#This Row],[Time]],Summary!$B$6/1440)</f>
        <v>0.3125</v>
      </c>
      <c r="I324" s="49">
        <f>INDEX(PeakCalc!$L$10:$L$303,MATCH(tblPivotData[[#This Row],[Time]],PeakCalc!$G$10:$G$303,0))</f>
        <v>0</v>
      </c>
    </row>
    <row r="325" spans="1:9" x14ac:dyDescent="0.25">
      <c r="A325" t="s">
        <v>94</v>
      </c>
      <c r="B325" t="s">
        <v>101</v>
      </c>
      <c r="C325" t="s">
        <v>96</v>
      </c>
      <c r="D325" t="s">
        <v>90</v>
      </c>
      <c r="E325" t="s">
        <v>43</v>
      </c>
      <c r="F325" s="6">
        <v>0.32291666666666669</v>
      </c>
      <c r="G325">
        <v>1</v>
      </c>
      <c r="H325" s="6">
        <f>FLOOR(tblPivotData[[#This Row],[Time]],Summary!$B$6/1440)</f>
        <v>0.32291666666666663</v>
      </c>
      <c r="I325" s="49">
        <f>INDEX(PeakCalc!$L$10:$L$303,MATCH(tblPivotData[[#This Row],[Time]],PeakCalc!$G$10:$G$303,0))</f>
        <v>0</v>
      </c>
    </row>
    <row r="326" spans="1:9" x14ac:dyDescent="0.25">
      <c r="A326" t="s">
        <v>94</v>
      </c>
      <c r="B326" t="s">
        <v>101</v>
      </c>
      <c r="C326" t="s">
        <v>96</v>
      </c>
      <c r="D326" t="s">
        <v>90</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101</v>
      </c>
      <c r="C327" t="s">
        <v>96</v>
      </c>
      <c r="D327" t="s">
        <v>90</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101</v>
      </c>
      <c r="C328" t="s">
        <v>96</v>
      </c>
      <c r="D328" t="s">
        <v>90</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101</v>
      </c>
      <c r="C329" t="s">
        <v>96</v>
      </c>
      <c r="D329" t="s">
        <v>90</v>
      </c>
      <c r="E329" t="s">
        <v>43</v>
      </c>
      <c r="F329" s="6">
        <v>0.36458333333333331</v>
      </c>
      <c r="G329">
        <v>3</v>
      </c>
      <c r="H329" s="6">
        <f>FLOOR(tblPivotData[[#This Row],[Time]],Summary!$B$6/1440)</f>
        <v>0.36458333333333331</v>
      </c>
      <c r="I329" s="49">
        <f>INDEX(PeakCalc!$L$10:$L$303,MATCH(tblPivotData[[#This Row],[Time]],PeakCalc!$G$10:$G$303,0))</f>
        <v>1</v>
      </c>
    </row>
    <row r="330" spans="1:9" x14ac:dyDescent="0.25">
      <c r="A330" t="s">
        <v>94</v>
      </c>
      <c r="B330" t="s">
        <v>101</v>
      </c>
      <c r="C330" t="s">
        <v>96</v>
      </c>
      <c r="D330" t="s">
        <v>90</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94</v>
      </c>
      <c r="B331" t="s">
        <v>101</v>
      </c>
      <c r="C331" t="s">
        <v>96</v>
      </c>
      <c r="D331" t="s">
        <v>90</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101</v>
      </c>
      <c r="C332" t="s">
        <v>96</v>
      </c>
      <c r="D332" t="s">
        <v>90</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101</v>
      </c>
      <c r="C333" t="s">
        <v>96</v>
      </c>
      <c r="D333" t="s">
        <v>90</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101</v>
      </c>
      <c r="C334" t="s">
        <v>96</v>
      </c>
      <c r="D334" t="s">
        <v>90</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101</v>
      </c>
      <c r="C335" t="s">
        <v>96</v>
      </c>
      <c r="D335" t="s">
        <v>90</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101</v>
      </c>
      <c r="C336" t="s">
        <v>96</v>
      </c>
      <c r="D336" t="s">
        <v>90</v>
      </c>
      <c r="E336" t="s">
        <v>44</v>
      </c>
      <c r="F336" s="6">
        <v>0.6875</v>
      </c>
      <c r="G336">
        <v>1</v>
      </c>
      <c r="H336" s="6">
        <f>FLOOR(tblPivotData[[#This Row],[Time]],Summary!$B$6/1440)</f>
        <v>0.6875</v>
      </c>
      <c r="I336" s="49">
        <f>INDEX(PeakCalc!$L$10:$L$303,MATCH(tblPivotData[[#This Row],[Time]],PeakCalc!$G$10:$G$303,0))</f>
        <v>0</v>
      </c>
    </row>
    <row r="337" spans="1:9" x14ac:dyDescent="0.25">
      <c r="A337" t="s">
        <v>94</v>
      </c>
      <c r="B337" t="s">
        <v>101</v>
      </c>
      <c r="C337" t="s">
        <v>96</v>
      </c>
      <c r="D337" t="s">
        <v>90</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96</v>
      </c>
      <c r="D338" t="s">
        <v>90</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101</v>
      </c>
      <c r="C339" t="s">
        <v>96</v>
      </c>
      <c r="D339" t="s">
        <v>90</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101</v>
      </c>
      <c r="C340" t="s">
        <v>96</v>
      </c>
      <c r="D340" t="s">
        <v>90</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94</v>
      </c>
      <c r="B341" t="s">
        <v>101</v>
      </c>
      <c r="C341" t="s">
        <v>96</v>
      </c>
      <c r="D341" t="s">
        <v>90</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96</v>
      </c>
      <c r="D342" t="s">
        <v>88</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96</v>
      </c>
      <c r="D343" t="s">
        <v>88</v>
      </c>
      <c r="E343" t="s">
        <v>43</v>
      </c>
      <c r="F343" s="6">
        <v>0.30208333333333331</v>
      </c>
      <c r="G343">
        <v>3</v>
      </c>
      <c r="H343" s="6">
        <f>FLOOR(tblPivotData[[#This Row],[Time]],Summary!$B$6/1440)</f>
        <v>0.30208333333333331</v>
      </c>
      <c r="I343" s="49">
        <f>INDEX(PeakCalc!$L$10:$L$303,MATCH(tblPivotData[[#This Row],[Time]],PeakCalc!$G$10:$G$303,0))</f>
        <v>0</v>
      </c>
    </row>
    <row r="344" spans="1:9" x14ac:dyDescent="0.25">
      <c r="A344" t="s">
        <v>94</v>
      </c>
      <c r="B344" t="s">
        <v>101</v>
      </c>
      <c r="C344" t="s">
        <v>96</v>
      </c>
      <c r="D344" t="s">
        <v>88</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101</v>
      </c>
      <c r="C345" t="s">
        <v>96</v>
      </c>
      <c r="D345" t="s">
        <v>88</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101</v>
      </c>
      <c r="C346" t="s">
        <v>96</v>
      </c>
      <c r="D346" t="s">
        <v>88</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96</v>
      </c>
      <c r="D347" t="s">
        <v>88</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96</v>
      </c>
      <c r="D348" t="s">
        <v>88</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96</v>
      </c>
      <c r="D349" t="s">
        <v>88</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101</v>
      </c>
      <c r="C350" t="s">
        <v>96</v>
      </c>
      <c r="D350" t="s">
        <v>88</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101</v>
      </c>
      <c r="C351" t="s">
        <v>96</v>
      </c>
      <c r="D351" t="s">
        <v>88</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96</v>
      </c>
      <c r="D352" t="s">
        <v>88</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101</v>
      </c>
      <c r="C353" t="s">
        <v>96</v>
      </c>
      <c r="D353" t="s">
        <v>88</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101</v>
      </c>
      <c r="C354" t="s">
        <v>96</v>
      </c>
      <c r="D354" t="s">
        <v>88</v>
      </c>
      <c r="E354" t="s">
        <v>44</v>
      </c>
      <c r="F354" s="6">
        <v>0.66666666666666663</v>
      </c>
      <c r="G354">
        <v>2</v>
      </c>
      <c r="H354" s="6">
        <f>FLOOR(tblPivotData[[#This Row],[Time]],Summary!$B$6/1440)</f>
        <v>0.66666666666666663</v>
      </c>
      <c r="I354" s="49">
        <f>INDEX(PeakCalc!$L$10:$L$303,MATCH(tblPivotData[[#This Row],[Time]],PeakCalc!$G$10:$G$303,0))</f>
        <v>0</v>
      </c>
    </row>
    <row r="355" spans="1:9" x14ac:dyDescent="0.25">
      <c r="A355" t="s">
        <v>94</v>
      </c>
      <c r="B355" t="s">
        <v>101</v>
      </c>
      <c r="C355" t="s">
        <v>96</v>
      </c>
      <c r="D355" t="s">
        <v>88</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101</v>
      </c>
      <c r="C356" t="s">
        <v>96</v>
      </c>
      <c r="D356" t="s">
        <v>88</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101</v>
      </c>
      <c r="C357" t="s">
        <v>96</v>
      </c>
      <c r="D357" t="s">
        <v>88</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96</v>
      </c>
      <c r="D358" t="s">
        <v>88</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96</v>
      </c>
      <c r="D359" t="s">
        <v>88</v>
      </c>
      <c r="E359" t="s">
        <v>44</v>
      </c>
      <c r="F359" s="6">
        <v>0.71875</v>
      </c>
      <c r="G359">
        <v>1</v>
      </c>
      <c r="H359" s="6">
        <f>FLOOR(tblPivotData[[#This Row],[Time]],Summary!$B$6/1440)</f>
        <v>0.71875</v>
      </c>
      <c r="I359" s="49">
        <f>INDEX(PeakCalc!$L$10:$L$303,MATCH(tblPivotData[[#This Row],[Time]],PeakCalc!$G$10:$G$303,0))</f>
        <v>1</v>
      </c>
    </row>
    <row r="360" spans="1:9" x14ac:dyDescent="0.25">
      <c r="A360" t="s">
        <v>94</v>
      </c>
      <c r="B360" t="s">
        <v>101</v>
      </c>
      <c r="C360" t="s">
        <v>96</v>
      </c>
      <c r="D360" t="s">
        <v>88</v>
      </c>
      <c r="E360" t="s">
        <v>44</v>
      </c>
      <c r="F360" s="6">
        <v>0.72916666666666663</v>
      </c>
      <c r="G360">
        <v>1</v>
      </c>
      <c r="H360" s="6">
        <f>FLOOR(tblPivotData[[#This Row],[Time]],Summary!$B$6/1440)</f>
        <v>0.72916666666666663</v>
      </c>
      <c r="I360" s="49">
        <f>INDEX(PeakCalc!$L$10:$L$303,MATCH(tblPivotData[[#This Row],[Time]],PeakCalc!$G$10:$G$303,0))</f>
        <v>1</v>
      </c>
    </row>
    <row r="361" spans="1:9" x14ac:dyDescent="0.25">
      <c r="A361" t="s">
        <v>94</v>
      </c>
      <c r="B361" t="s">
        <v>101</v>
      </c>
      <c r="C361" t="s">
        <v>96</v>
      </c>
      <c r="D361" t="s">
        <v>88</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96</v>
      </c>
      <c r="M11" s="54"/>
      <c r="N11" s="54"/>
      <c r="O11" s="54"/>
      <c r="P11" s="54"/>
      <c r="Q11" s="54"/>
      <c r="R11" s="54"/>
      <c r="S11" s="54"/>
      <c r="T11" s="51" t="s">
        <v>104</v>
      </c>
      <c r="U11" s="53" t="s">
        <v>94</v>
      </c>
      <c r="V11" s="54"/>
      <c r="W11" s="54"/>
      <c r="X11" s="54"/>
      <c r="Y11" s="54"/>
      <c r="Z11" s="54"/>
      <c r="AA11" s="54"/>
      <c r="AB11" s="54"/>
      <c r="AC11" s="51" t="s">
        <v>105</v>
      </c>
      <c r="AD11" s="51" t="s">
        <v>49</v>
      </c>
    </row>
    <row r="12" spans="2:30" x14ac:dyDescent="0.25">
      <c r="B12" s="25"/>
      <c r="C12" s="51" t="s">
        <v>95</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90</v>
      </c>
      <c r="E13" s="24" t="s">
        <v>88</v>
      </c>
      <c r="F13" s="52"/>
      <c r="G13" s="24" t="s">
        <v>79</v>
      </c>
      <c r="H13" s="24" t="s">
        <v>90</v>
      </c>
      <c r="I13" s="24" t="s">
        <v>88</v>
      </c>
      <c r="J13" s="52"/>
      <c r="K13" s="52"/>
      <c r="L13" s="24" t="s">
        <v>79</v>
      </c>
      <c r="M13" s="24" t="s">
        <v>90</v>
      </c>
      <c r="N13" s="24" t="s">
        <v>88</v>
      </c>
      <c r="O13" s="52"/>
      <c r="P13" s="24" t="s">
        <v>79</v>
      </c>
      <c r="Q13" s="24" t="s">
        <v>90</v>
      </c>
      <c r="R13" s="24" t="s">
        <v>88</v>
      </c>
      <c r="S13" s="52"/>
      <c r="T13" s="52"/>
      <c r="U13" s="24" t="s">
        <v>79</v>
      </c>
      <c r="V13" s="24" t="s">
        <v>90</v>
      </c>
      <c r="W13" s="24" t="s">
        <v>88</v>
      </c>
      <c r="X13" s="52"/>
      <c r="Y13" s="24" t="s">
        <v>79</v>
      </c>
      <c r="Z13" s="24" t="s">
        <v>90</v>
      </c>
      <c r="AA13" s="24" t="s">
        <v>88</v>
      </c>
      <c r="AB13" s="52"/>
      <c r="AC13" s="52"/>
      <c r="AD13" s="52"/>
    </row>
    <row r="14" spans="2:30" x14ac:dyDescent="0.25">
      <c r="B14" s="10" t="s">
        <v>43</v>
      </c>
      <c r="C14" s="49">
        <v>108</v>
      </c>
      <c r="D14" s="49">
        <v>9</v>
      </c>
      <c r="E14" s="49">
        <v>4</v>
      </c>
      <c r="F14" s="49">
        <v>121</v>
      </c>
      <c r="G14" s="49">
        <v>509</v>
      </c>
      <c r="H14" s="49">
        <v>10</v>
      </c>
      <c r="I14" s="49">
        <v>29</v>
      </c>
      <c r="J14" s="49">
        <v>548</v>
      </c>
      <c r="K14" s="49">
        <v>669</v>
      </c>
      <c r="L14" s="49">
        <v>150</v>
      </c>
      <c r="M14" s="49">
        <v>4</v>
      </c>
      <c r="N14" s="49">
        <v>5</v>
      </c>
      <c r="O14" s="49">
        <v>159</v>
      </c>
      <c r="P14" s="49">
        <v>491</v>
      </c>
      <c r="Q14" s="49">
        <v>7</v>
      </c>
      <c r="R14" s="49">
        <v>44</v>
      </c>
      <c r="S14" s="49">
        <v>542</v>
      </c>
      <c r="T14" s="49">
        <v>701</v>
      </c>
      <c r="U14" s="49">
        <v>839</v>
      </c>
      <c r="V14" s="49">
        <v>22</v>
      </c>
      <c r="W14" s="49">
        <v>39</v>
      </c>
      <c r="X14" s="49">
        <v>900</v>
      </c>
      <c r="Y14" s="49">
        <v>53</v>
      </c>
      <c r="Z14" s="49">
        <v>8</v>
      </c>
      <c r="AA14" s="49">
        <v>3</v>
      </c>
      <c r="AB14" s="49">
        <v>64</v>
      </c>
      <c r="AC14" s="49">
        <v>964</v>
      </c>
      <c r="AD14" s="49">
        <v>2334</v>
      </c>
    </row>
    <row r="15" spans="2:30" x14ac:dyDescent="0.25">
      <c r="B15" s="11">
        <v>0.29166666666666669</v>
      </c>
      <c r="C15" s="49">
        <v>2</v>
      </c>
      <c r="D15" s="49">
        <v>2</v>
      </c>
      <c r="E15" s="49">
        <v>0</v>
      </c>
      <c r="F15" s="49">
        <v>4</v>
      </c>
      <c r="G15" s="49">
        <v>29</v>
      </c>
      <c r="H15" s="49">
        <v>1</v>
      </c>
      <c r="I15" s="49">
        <v>3</v>
      </c>
      <c r="J15" s="49">
        <v>33</v>
      </c>
      <c r="K15" s="49">
        <v>37</v>
      </c>
      <c r="L15" s="49">
        <v>14</v>
      </c>
      <c r="M15" s="49">
        <v>1</v>
      </c>
      <c r="N15" s="49">
        <v>1</v>
      </c>
      <c r="O15" s="49">
        <v>16</v>
      </c>
      <c r="P15" s="49">
        <v>39</v>
      </c>
      <c r="Q15" s="49">
        <v>0</v>
      </c>
      <c r="R15" s="49">
        <v>1</v>
      </c>
      <c r="S15" s="49">
        <v>40</v>
      </c>
      <c r="T15" s="49">
        <v>56</v>
      </c>
      <c r="U15" s="49">
        <v>58</v>
      </c>
      <c r="V15" s="49">
        <v>3</v>
      </c>
      <c r="W15" s="49">
        <v>4</v>
      </c>
      <c r="X15" s="49">
        <v>65</v>
      </c>
      <c r="Y15" s="49">
        <v>4</v>
      </c>
      <c r="Z15" s="49">
        <v>1</v>
      </c>
      <c r="AA15" s="49">
        <v>0</v>
      </c>
      <c r="AB15" s="49">
        <v>5</v>
      </c>
      <c r="AC15" s="49">
        <v>70</v>
      </c>
      <c r="AD15" s="49">
        <v>163</v>
      </c>
    </row>
    <row r="16" spans="2:30" x14ac:dyDescent="0.25">
      <c r="B16" s="11">
        <v>0.30208333333333331</v>
      </c>
      <c r="C16" s="49">
        <v>11</v>
      </c>
      <c r="D16" s="49">
        <v>1</v>
      </c>
      <c r="E16" s="49">
        <v>1</v>
      </c>
      <c r="F16" s="49">
        <v>13</v>
      </c>
      <c r="G16" s="49">
        <v>46</v>
      </c>
      <c r="H16" s="49">
        <v>0</v>
      </c>
      <c r="I16" s="49">
        <v>2</v>
      </c>
      <c r="J16" s="49">
        <v>48</v>
      </c>
      <c r="K16" s="49">
        <v>61</v>
      </c>
      <c r="L16" s="49">
        <v>16</v>
      </c>
      <c r="M16" s="49">
        <v>1</v>
      </c>
      <c r="N16" s="49">
        <v>0</v>
      </c>
      <c r="O16" s="49">
        <v>17</v>
      </c>
      <c r="P16" s="49">
        <v>55</v>
      </c>
      <c r="Q16" s="49">
        <v>1</v>
      </c>
      <c r="R16" s="49">
        <v>4</v>
      </c>
      <c r="S16" s="49">
        <v>60</v>
      </c>
      <c r="T16" s="49">
        <v>77</v>
      </c>
      <c r="U16" s="49">
        <v>64</v>
      </c>
      <c r="V16" s="49">
        <v>2</v>
      </c>
      <c r="W16" s="49">
        <v>1</v>
      </c>
      <c r="X16" s="49">
        <v>67</v>
      </c>
      <c r="Y16" s="49">
        <v>9</v>
      </c>
      <c r="Z16" s="49">
        <v>0</v>
      </c>
      <c r="AA16" s="49">
        <v>3</v>
      </c>
      <c r="AB16" s="49">
        <v>12</v>
      </c>
      <c r="AC16" s="49">
        <v>79</v>
      </c>
      <c r="AD16" s="49">
        <v>217</v>
      </c>
    </row>
    <row r="17" spans="2:30" x14ac:dyDescent="0.25">
      <c r="B17" s="11">
        <v>0.3125</v>
      </c>
      <c r="C17" s="49">
        <v>10</v>
      </c>
      <c r="D17" s="49">
        <v>0</v>
      </c>
      <c r="E17" s="49">
        <v>0</v>
      </c>
      <c r="F17" s="49">
        <v>10</v>
      </c>
      <c r="G17" s="49">
        <v>64</v>
      </c>
      <c r="H17" s="49">
        <v>2</v>
      </c>
      <c r="I17" s="49">
        <v>1</v>
      </c>
      <c r="J17" s="49">
        <v>67</v>
      </c>
      <c r="K17" s="49">
        <v>77</v>
      </c>
      <c r="L17" s="49">
        <v>21</v>
      </c>
      <c r="M17" s="49">
        <v>0</v>
      </c>
      <c r="N17" s="49">
        <v>1</v>
      </c>
      <c r="O17" s="49">
        <v>22</v>
      </c>
      <c r="P17" s="49">
        <v>64</v>
      </c>
      <c r="Q17" s="49">
        <v>1</v>
      </c>
      <c r="R17" s="49">
        <v>6</v>
      </c>
      <c r="S17" s="49">
        <v>71</v>
      </c>
      <c r="T17" s="49">
        <v>93</v>
      </c>
      <c r="U17" s="49">
        <v>107</v>
      </c>
      <c r="V17" s="49">
        <v>1</v>
      </c>
      <c r="W17" s="49">
        <v>6</v>
      </c>
      <c r="X17" s="49">
        <v>114</v>
      </c>
      <c r="Y17" s="49">
        <v>8</v>
      </c>
      <c r="Z17" s="49">
        <v>2</v>
      </c>
      <c r="AA17" s="49">
        <v>0</v>
      </c>
      <c r="AB17" s="49">
        <v>10</v>
      </c>
      <c r="AC17" s="49">
        <v>124</v>
      </c>
      <c r="AD17" s="49">
        <v>294</v>
      </c>
    </row>
    <row r="18" spans="2:30" x14ac:dyDescent="0.25">
      <c r="B18" s="11">
        <v>0.32291666666666669</v>
      </c>
      <c r="C18" s="49">
        <v>9</v>
      </c>
      <c r="D18" s="49">
        <v>1</v>
      </c>
      <c r="E18" s="49">
        <v>0</v>
      </c>
      <c r="F18" s="49">
        <v>10</v>
      </c>
      <c r="G18" s="49">
        <v>64</v>
      </c>
      <c r="H18" s="49">
        <v>1</v>
      </c>
      <c r="I18" s="49">
        <v>1</v>
      </c>
      <c r="J18" s="49">
        <v>66</v>
      </c>
      <c r="K18" s="49">
        <v>76</v>
      </c>
      <c r="L18" s="49">
        <v>19</v>
      </c>
      <c r="M18" s="49">
        <v>0</v>
      </c>
      <c r="N18" s="49">
        <v>1</v>
      </c>
      <c r="O18" s="49">
        <v>20</v>
      </c>
      <c r="P18" s="49">
        <v>65</v>
      </c>
      <c r="Q18" s="49">
        <v>0</v>
      </c>
      <c r="R18" s="49">
        <v>6</v>
      </c>
      <c r="S18" s="49">
        <v>71</v>
      </c>
      <c r="T18" s="49">
        <v>91</v>
      </c>
      <c r="U18" s="49">
        <v>110</v>
      </c>
      <c r="V18" s="49">
        <v>4</v>
      </c>
      <c r="W18" s="49">
        <v>2</v>
      </c>
      <c r="X18" s="49">
        <v>116</v>
      </c>
      <c r="Y18" s="49">
        <v>5</v>
      </c>
      <c r="Z18" s="49">
        <v>1</v>
      </c>
      <c r="AA18" s="49">
        <v>0</v>
      </c>
      <c r="AB18" s="49">
        <v>6</v>
      </c>
      <c r="AC18" s="49">
        <v>122</v>
      </c>
      <c r="AD18" s="49">
        <v>289</v>
      </c>
    </row>
    <row r="19" spans="2:30" x14ac:dyDescent="0.25">
      <c r="B19" s="11">
        <v>0.33333333333333331</v>
      </c>
      <c r="C19" s="49">
        <v>19</v>
      </c>
      <c r="D19" s="49">
        <v>0</v>
      </c>
      <c r="E19" s="49">
        <v>1</v>
      </c>
      <c r="F19" s="49">
        <v>20</v>
      </c>
      <c r="G19" s="49">
        <v>70</v>
      </c>
      <c r="H19" s="49">
        <v>1</v>
      </c>
      <c r="I19" s="49">
        <v>2</v>
      </c>
      <c r="J19" s="49">
        <v>73</v>
      </c>
      <c r="K19" s="49">
        <v>93</v>
      </c>
      <c r="L19" s="49">
        <v>15</v>
      </c>
      <c r="M19" s="49">
        <v>0</v>
      </c>
      <c r="N19" s="49">
        <v>1</v>
      </c>
      <c r="O19" s="49">
        <v>16</v>
      </c>
      <c r="P19" s="49">
        <v>62</v>
      </c>
      <c r="Q19" s="49">
        <v>2</v>
      </c>
      <c r="R19" s="49">
        <v>9</v>
      </c>
      <c r="S19" s="49">
        <v>73</v>
      </c>
      <c r="T19" s="49">
        <v>89</v>
      </c>
      <c r="U19" s="49">
        <v>126</v>
      </c>
      <c r="V19" s="49">
        <v>2</v>
      </c>
      <c r="W19" s="49">
        <v>8</v>
      </c>
      <c r="X19" s="49">
        <v>136</v>
      </c>
      <c r="Y19" s="49">
        <v>6</v>
      </c>
      <c r="Z19" s="49">
        <v>1</v>
      </c>
      <c r="AA19" s="49">
        <v>0</v>
      </c>
      <c r="AB19" s="49">
        <v>7</v>
      </c>
      <c r="AC19" s="49">
        <v>143</v>
      </c>
      <c r="AD19" s="49">
        <v>325</v>
      </c>
    </row>
    <row r="20" spans="2:30" x14ac:dyDescent="0.25">
      <c r="B20" s="11">
        <v>0.34375</v>
      </c>
      <c r="C20" s="49">
        <v>13</v>
      </c>
      <c r="D20" s="49">
        <v>3</v>
      </c>
      <c r="E20" s="49">
        <v>0</v>
      </c>
      <c r="F20" s="49">
        <v>16</v>
      </c>
      <c r="G20" s="49">
        <v>87</v>
      </c>
      <c r="H20" s="49">
        <v>1</v>
      </c>
      <c r="I20" s="49">
        <v>2</v>
      </c>
      <c r="J20" s="49">
        <v>90</v>
      </c>
      <c r="K20" s="49">
        <v>106</v>
      </c>
      <c r="L20" s="49">
        <v>36</v>
      </c>
      <c r="M20" s="49">
        <v>1</v>
      </c>
      <c r="N20" s="49">
        <v>0</v>
      </c>
      <c r="O20" s="49">
        <v>37</v>
      </c>
      <c r="P20" s="49">
        <v>87</v>
      </c>
      <c r="Q20" s="49">
        <v>1</v>
      </c>
      <c r="R20" s="49">
        <v>10</v>
      </c>
      <c r="S20" s="49">
        <v>98</v>
      </c>
      <c r="T20" s="49">
        <v>135</v>
      </c>
      <c r="U20" s="49">
        <v>135</v>
      </c>
      <c r="V20" s="49">
        <v>2</v>
      </c>
      <c r="W20" s="49">
        <v>3</v>
      </c>
      <c r="X20" s="49">
        <v>140</v>
      </c>
      <c r="Y20" s="49">
        <v>8</v>
      </c>
      <c r="Z20" s="49">
        <v>0</v>
      </c>
      <c r="AA20" s="49">
        <v>0</v>
      </c>
      <c r="AB20" s="49">
        <v>8</v>
      </c>
      <c r="AC20" s="49">
        <v>148</v>
      </c>
      <c r="AD20" s="49">
        <v>389</v>
      </c>
    </row>
    <row r="21" spans="2:30" x14ac:dyDescent="0.25">
      <c r="B21" s="11">
        <v>0.35416666666666669</v>
      </c>
      <c r="C21" s="49">
        <v>22</v>
      </c>
      <c r="D21" s="49">
        <v>0</v>
      </c>
      <c r="E21" s="49">
        <v>0</v>
      </c>
      <c r="F21" s="49">
        <v>22</v>
      </c>
      <c r="G21" s="49">
        <v>73</v>
      </c>
      <c r="H21" s="49">
        <v>1</v>
      </c>
      <c r="I21" s="49">
        <v>15</v>
      </c>
      <c r="J21" s="49">
        <v>89</v>
      </c>
      <c r="K21" s="49">
        <v>111</v>
      </c>
      <c r="L21" s="49">
        <v>18</v>
      </c>
      <c r="M21" s="49">
        <v>1</v>
      </c>
      <c r="N21" s="49">
        <v>1</v>
      </c>
      <c r="O21" s="49">
        <v>20</v>
      </c>
      <c r="P21" s="49">
        <v>68</v>
      </c>
      <c r="Q21" s="49">
        <v>1</v>
      </c>
      <c r="R21" s="49">
        <v>7</v>
      </c>
      <c r="S21" s="49">
        <v>76</v>
      </c>
      <c r="T21" s="49">
        <v>96</v>
      </c>
      <c r="U21" s="49">
        <v>135</v>
      </c>
      <c r="V21" s="49">
        <v>3</v>
      </c>
      <c r="W21" s="49">
        <v>9</v>
      </c>
      <c r="X21" s="49">
        <v>147</v>
      </c>
      <c r="Y21" s="49">
        <v>4</v>
      </c>
      <c r="Z21" s="49">
        <v>0</v>
      </c>
      <c r="AA21" s="49">
        <v>0</v>
      </c>
      <c r="AB21" s="49">
        <v>4</v>
      </c>
      <c r="AC21" s="49">
        <v>151</v>
      </c>
      <c r="AD21" s="49">
        <v>358</v>
      </c>
    </row>
    <row r="22" spans="2:30" x14ac:dyDescent="0.25">
      <c r="B22" s="11">
        <v>0.36458333333333331</v>
      </c>
      <c r="C22" s="49">
        <v>22</v>
      </c>
      <c r="D22" s="49">
        <v>2</v>
      </c>
      <c r="E22" s="49">
        <v>2</v>
      </c>
      <c r="F22" s="49">
        <v>26</v>
      </c>
      <c r="G22" s="49">
        <v>76</v>
      </c>
      <c r="H22" s="49">
        <v>3</v>
      </c>
      <c r="I22" s="49">
        <v>3</v>
      </c>
      <c r="J22" s="49">
        <v>82</v>
      </c>
      <c r="K22" s="49">
        <v>108</v>
      </c>
      <c r="L22" s="49">
        <v>11</v>
      </c>
      <c r="M22" s="49">
        <v>0</v>
      </c>
      <c r="N22" s="49">
        <v>0</v>
      </c>
      <c r="O22" s="49">
        <v>11</v>
      </c>
      <c r="P22" s="49">
        <v>51</v>
      </c>
      <c r="Q22" s="49">
        <v>1</v>
      </c>
      <c r="R22" s="49">
        <v>1</v>
      </c>
      <c r="S22" s="49">
        <v>53</v>
      </c>
      <c r="T22" s="49">
        <v>64</v>
      </c>
      <c r="U22" s="49">
        <v>104</v>
      </c>
      <c r="V22" s="49">
        <v>5</v>
      </c>
      <c r="W22" s="49">
        <v>6</v>
      </c>
      <c r="X22" s="49">
        <v>115</v>
      </c>
      <c r="Y22" s="49">
        <v>9</v>
      </c>
      <c r="Z22" s="49">
        <v>3</v>
      </c>
      <c r="AA22" s="49">
        <v>0</v>
      </c>
      <c r="AB22" s="49">
        <v>12</v>
      </c>
      <c r="AC22" s="49">
        <v>127</v>
      </c>
      <c r="AD22" s="49">
        <v>299</v>
      </c>
    </row>
    <row r="23" spans="2:30" x14ac:dyDescent="0.25">
      <c r="B23" s="10" t="s">
        <v>44</v>
      </c>
      <c r="C23" s="49">
        <v>359</v>
      </c>
      <c r="D23" s="49">
        <v>6</v>
      </c>
      <c r="E23" s="49">
        <v>24</v>
      </c>
      <c r="F23" s="49">
        <v>389</v>
      </c>
      <c r="G23" s="49">
        <v>752</v>
      </c>
      <c r="H23" s="49">
        <v>6</v>
      </c>
      <c r="I23" s="49">
        <v>37</v>
      </c>
      <c r="J23" s="49">
        <v>795</v>
      </c>
      <c r="K23" s="49">
        <v>1184</v>
      </c>
      <c r="L23" s="49">
        <v>100</v>
      </c>
      <c r="M23" s="49">
        <v>5</v>
      </c>
      <c r="N23" s="49">
        <v>3</v>
      </c>
      <c r="O23" s="49">
        <v>108</v>
      </c>
      <c r="P23" s="49">
        <v>214</v>
      </c>
      <c r="Q23" s="49">
        <v>7</v>
      </c>
      <c r="R23" s="49">
        <v>2</v>
      </c>
      <c r="S23" s="49">
        <v>223</v>
      </c>
      <c r="T23" s="49">
        <v>331</v>
      </c>
      <c r="U23" s="49">
        <v>745</v>
      </c>
      <c r="V23" s="49">
        <v>15</v>
      </c>
      <c r="W23" s="49">
        <v>38</v>
      </c>
      <c r="X23" s="49">
        <v>798</v>
      </c>
      <c r="Y23" s="49">
        <v>177</v>
      </c>
      <c r="Z23" s="49">
        <v>2</v>
      </c>
      <c r="AA23" s="49">
        <v>4</v>
      </c>
      <c r="AB23" s="49">
        <v>183</v>
      </c>
      <c r="AC23" s="49">
        <v>981</v>
      </c>
      <c r="AD23" s="49">
        <v>2496</v>
      </c>
    </row>
    <row r="24" spans="2:30" x14ac:dyDescent="0.25">
      <c r="B24" s="11">
        <v>0.66666666666666663</v>
      </c>
      <c r="C24" s="49">
        <v>33</v>
      </c>
      <c r="D24" s="49">
        <v>0</v>
      </c>
      <c r="E24" s="49">
        <v>1</v>
      </c>
      <c r="F24" s="49">
        <v>34</v>
      </c>
      <c r="G24" s="49">
        <v>84</v>
      </c>
      <c r="H24" s="49">
        <v>2</v>
      </c>
      <c r="I24" s="49">
        <v>1</v>
      </c>
      <c r="J24" s="49">
        <v>87</v>
      </c>
      <c r="K24" s="49">
        <v>121</v>
      </c>
      <c r="L24" s="49">
        <v>6</v>
      </c>
      <c r="M24" s="49">
        <v>0</v>
      </c>
      <c r="N24" s="49">
        <v>1</v>
      </c>
      <c r="O24" s="49">
        <v>7</v>
      </c>
      <c r="P24" s="49">
        <v>25</v>
      </c>
      <c r="Q24" s="49">
        <v>1</v>
      </c>
      <c r="R24" s="49">
        <v>0</v>
      </c>
      <c r="S24" s="49">
        <v>26</v>
      </c>
      <c r="T24" s="49">
        <v>33</v>
      </c>
      <c r="U24" s="49">
        <v>69</v>
      </c>
      <c r="V24" s="49">
        <v>3</v>
      </c>
      <c r="W24" s="49">
        <v>3</v>
      </c>
      <c r="X24" s="49">
        <v>75</v>
      </c>
      <c r="Y24" s="49">
        <v>21</v>
      </c>
      <c r="Z24" s="49">
        <v>0</v>
      </c>
      <c r="AA24" s="49">
        <v>2</v>
      </c>
      <c r="AB24" s="49">
        <v>23</v>
      </c>
      <c r="AC24" s="49">
        <v>98</v>
      </c>
      <c r="AD24" s="49">
        <v>252</v>
      </c>
    </row>
    <row r="25" spans="2:30" x14ac:dyDescent="0.25">
      <c r="B25" s="11">
        <v>0.67708333333333337</v>
      </c>
      <c r="C25" s="49">
        <v>36</v>
      </c>
      <c r="D25" s="49">
        <v>1</v>
      </c>
      <c r="E25" s="49">
        <v>1</v>
      </c>
      <c r="F25" s="49">
        <v>38</v>
      </c>
      <c r="G25" s="49">
        <v>94</v>
      </c>
      <c r="H25" s="49">
        <v>2</v>
      </c>
      <c r="I25" s="49">
        <v>2</v>
      </c>
      <c r="J25" s="49">
        <v>98</v>
      </c>
      <c r="K25" s="49">
        <v>136</v>
      </c>
      <c r="L25" s="49">
        <v>23</v>
      </c>
      <c r="M25" s="49">
        <v>0</v>
      </c>
      <c r="N25" s="49">
        <v>0</v>
      </c>
      <c r="O25" s="49">
        <v>23</v>
      </c>
      <c r="P25" s="49">
        <v>27</v>
      </c>
      <c r="Q25" s="49">
        <v>0</v>
      </c>
      <c r="R25" s="49">
        <v>0</v>
      </c>
      <c r="S25" s="49">
        <v>27</v>
      </c>
      <c r="T25" s="49">
        <v>50</v>
      </c>
      <c r="U25" s="49">
        <v>96</v>
      </c>
      <c r="V25" s="49">
        <v>2</v>
      </c>
      <c r="W25" s="49">
        <v>4</v>
      </c>
      <c r="X25" s="49">
        <v>102</v>
      </c>
      <c r="Y25" s="49">
        <v>18</v>
      </c>
      <c r="Z25" s="49">
        <v>0</v>
      </c>
      <c r="AA25" s="49">
        <v>0</v>
      </c>
      <c r="AB25" s="49">
        <v>18</v>
      </c>
      <c r="AC25" s="49">
        <v>120</v>
      </c>
      <c r="AD25" s="49">
        <v>306</v>
      </c>
    </row>
    <row r="26" spans="2:30" x14ac:dyDescent="0.25">
      <c r="B26" s="11">
        <v>0.6875</v>
      </c>
      <c r="C26" s="49">
        <v>38</v>
      </c>
      <c r="D26" s="49">
        <v>0</v>
      </c>
      <c r="E26" s="49">
        <v>3</v>
      </c>
      <c r="F26" s="49">
        <v>41</v>
      </c>
      <c r="G26" s="49">
        <v>89</v>
      </c>
      <c r="H26" s="49">
        <v>0</v>
      </c>
      <c r="I26" s="49">
        <v>4</v>
      </c>
      <c r="J26" s="49">
        <v>93</v>
      </c>
      <c r="K26" s="49">
        <v>134</v>
      </c>
      <c r="L26" s="49">
        <v>12</v>
      </c>
      <c r="M26" s="49">
        <v>0</v>
      </c>
      <c r="N26" s="49">
        <v>0</v>
      </c>
      <c r="O26" s="49">
        <v>12</v>
      </c>
      <c r="P26" s="49">
        <v>37</v>
      </c>
      <c r="Q26" s="49">
        <v>2</v>
      </c>
      <c r="R26" s="49">
        <v>0</v>
      </c>
      <c r="S26" s="49">
        <v>39</v>
      </c>
      <c r="T26" s="49">
        <v>51</v>
      </c>
      <c r="U26" s="49">
        <v>98</v>
      </c>
      <c r="V26" s="49">
        <v>2</v>
      </c>
      <c r="W26" s="49">
        <v>1</v>
      </c>
      <c r="X26" s="49">
        <v>101</v>
      </c>
      <c r="Y26" s="49">
        <v>15</v>
      </c>
      <c r="Z26" s="49">
        <v>1</v>
      </c>
      <c r="AA26" s="49">
        <v>0</v>
      </c>
      <c r="AB26" s="49">
        <v>16</v>
      </c>
      <c r="AC26" s="49">
        <v>117</v>
      </c>
      <c r="AD26" s="49">
        <v>302</v>
      </c>
    </row>
    <row r="27" spans="2:30" x14ac:dyDescent="0.25">
      <c r="B27" s="11">
        <v>0.69791666666666663</v>
      </c>
      <c r="C27" s="49">
        <v>59</v>
      </c>
      <c r="D27" s="49">
        <v>2</v>
      </c>
      <c r="E27" s="49">
        <v>1</v>
      </c>
      <c r="F27" s="49">
        <v>62</v>
      </c>
      <c r="G27" s="49">
        <v>105</v>
      </c>
      <c r="H27" s="49">
        <v>2</v>
      </c>
      <c r="I27" s="49">
        <v>5</v>
      </c>
      <c r="J27" s="49">
        <v>112</v>
      </c>
      <c r="K27" s="49">
        <v>174</v>
      </c>
      <c r="L27" s="49">
        <v>13</v>
      </c>
      <c r="M27" s="49">
        <v>2</v>
      </c>
      <c r="N27" s="49">
        <v>1</v>
      </c>
      <c r="O27" s="49">
        <v>16</v>
      </c>
      <c r="P27" s="49">
        <v>20</v>
      </c>
      <c r="Q27" s="49">
        <v>0</v>
      </c>
      <c r="R27" s="49">
        <v>0</v>
      </c>
      <c r="S27" s="49">
        <v>20</v>
      </c>
      <c r="T27" s="49">
        <v>36</v>
      </c>
      <c r="U27" s="49">
        <v>104</v>
      </c>
      <c r="V27" s="49">
        <v>0</v>
      </c>
      <c r="W27" s="49">
        <v>8</v>
      </c>
      <c r="X27" s="49">
        <v>112</v>
      </c>
      <c r="Y27" s="49">
        <v>31</v>
      </c>
      <c r="Z27" s="49">
        <v>0</v>
      </c>
      <c r="AA27" s="49">
        <v>0</v>
      </c>
      <c r="AB27" s="49">
        <v>31</v>
      </c>
      <c r="AC27" s="49">
        <v>143</v>
      </c>
      <c r="AD27" s="49">
        <v>353</v>
      </c>
    </row>
    <row r="28" spans="2:30" x14ac:dyDescent="0.25">
      <c r="B28" s="11">
        <v>0.70833333333333337</v>
      </c>
      <c r="C28" s="49">
        <v>47</v>
      </c>
      <c r="D28" s="49">
        <v>1</v>
      </c>
      <c r="E28" s="49">
        <v>5</v>
      </c>
      <c r="F28" s="49">
        <v>53</v>
      </c>
      <c r="G28" s="49">
        <v>103</v>
      </c>
      <c r="H28" s="49">
        <v>0</v>
      </c>
      <c r="I28" s="49">
        <v>5</v>
      </c>
      <c r="J28" s="49">
        <v>108</v>
      </c>
      <c r="K28" s="49">
        <v>161</v>
      </c>
      <c r="L28" s="49">
        <v>16</v>
      </c>
      <c r="M28" s="49">
        <v>0</v>
      </c>
      <c r="N28" s="49">
        <v>0</v>
      </c>
      <c r="O28" s="49">
        <v>16</v>
      </c>
      <c r="P28" s="49">
        <v>33</v>
      </c>
      <c r="Q28" s="49">
        <v>1</v>
      </c>
      <c r="R28" s="49">
        <v>2</v>
      </c>
      <c r="S28" s="49">
        <v>36</v>
      </c>
      <c r="T28" s="49">
        <v>52</v>
      </c>
      <c r="U28" s="49">
        <v>95</v>
      </c>
      <c r="V28" s="49">
        <v>2</v>
      </c>
      <c r="W28" s="49">
        <v>3</v>
      </c>
      <c r="X28" s="49">
        <v>100</v>
      </c>
      <c r="Y28" s="49">
        <v>26</v>
      </c>
      <c r="Z28" s="49">
        <v>0</v>
      </c>
      <c r="AA28" s="49">
        <v>0</v>
      </c>
      <c r="AB28" s="49">
        <v>26</v>
      </c>
      <c r="AC28" s="49">
        <v>126</v>
      </c>
      <c r="AD28" s="49">
        <v>339</v>
      </c>
    </row>
    <row r="29" spans="2:30" x14ac:dyDescent="0.25">
      <c r="B29" s="11">
        <v>0.71875</v>
      </c>
      <c r="C29" s="49">
        <v>53</v>
      </c>
      <c r="D29" s="49">
        <v>0</v>
      </c>
      <c r="E29" s="49">
        <v>4</v>
      </c>
      <c r="F29" s="49">
        <v>57</v>
      </c>
      <c r="G29" s="49">
        <v>103</v>
      </c>
      <c r="H29" s="49">
        <v>0</v>
      </c>
      <c r="I29" s="49">
        <v>5</v>
      </c>
      <c r="J29" s="49">
        <v>108</v>
      </c>
      <c r="K29" s="49">
        <v>165</v>
      </c>
      <c r="L29" s="49">
        <v>10</v>
      </c>
      <c r="M29" s="49">
        <v>2</v>
      </c>
      <c r="N29" s="49">
        <v>0</v>
      </c>
      <c r="O29" s="49">
        <v>12</v>
      </c>
      <c r="P29" s="49">
        <v>30</v>
      </c>
      <c r="Q29" s="49">
        <v>1</v>
      </c>
      <c r="R29" s="49">
        <v>0</v>
      </c>
      <c r="S29" s="49">
        <v>31</v>
      </c>
      <c r="T29" s="49">
        <v>43</v>
      </c>
      <c r="U29" s="49">
        <v>107</v>
      </c>
      <c r="V29" s="49">
        <v>6</v>
      </c>
      <c r="W29" s="49">
        <v>4</v>
      </c>
      <c r="X29" s="49">
        <v>117</v>
      </c>
      <c r="Y29" s="49">
        <v>18</v>
      </c>
      <c r="Z29" s="49">
        <v>0</v>
      </c>
      <c r="AA29" s="49">
        <v>1</v>
      </c>
      <c r="AB29" s="49">
        <v>19</v>
      </c>
      <c r="AC29" s="49">
        <v>136</v>
      </c>
      <c r="AD29" s="49">
        <v>344</v>
      </c>
    </row>
    <row r="30" spans="2:30" x14ac:dyDescent="0.25">
      <c r="B30" s="11">
        <v>0.72916666666666663</v>
      </c>
      <c r="C30" s="49">
        <v>42</v>
      </c>
      <c r="D30" s="49">
        <v>1</v>
      </c>
      <c r="E30" s="49">
        <v>4</v>
      </c>
      <c r="F30" s="49">
        <v>47</v>
      </c>
      <c r="G30" s="49">
        <v>92</v>
      </c>
      <c r="H30" s="49">
        <v>0</v>
      </c>
      <c r="I30" s="49">
        <v>10</v>
      </c>
      <c r="J30" s="49">
        <v>102</v>
      </c>
      <c r="K30" s="49">
        <v>149</v>
      </c>
      <c r="L30" s="49">
        <v>9</v>
      </c>
      <c r="M30" s="49">
        <v>1</v>
      </c>
      <c r="N30" s="49">
        <v>0</v>
      </c>
      <c r="O30" s="49">
        <v>10</v>
      </c>
      <c r="P30" s="49">
        <v>22</v>
      </c>
      <c r="Q30" s="49">
        <v>1</v>
      </c>
      <c r="R30" s="49">
        <v>0</v>
      </c>
      <c r="S30" s="49">
        <v>23</v>
      </c>
      <c r="T30" s="49">
        <v>33</v>
      </c>
      <c r="U30" s="49">
        <v>108</v>
      </c>
      <c r="V30" s="49">
        <v>0</v>
      </c>
      <c r="W30" s="49">
        <v>9</v>
      </c>
      <c r="X30" s="49">
        <v>117</v>
      </c>
      <c r="Y30" s="49">
        <v>33</v>
      </c>
      <c r="Z30" s="49">
        <v>1</v>
      </c>
      <c r="AA30" s="49">
        <v>1</v>
      </c>
      <c r="AB30" s="49">
        <v>35</v>
      </c>
      <c r="AC30" s="49">
        <v>152</v>
      </c>
      <c r="AD30" s="49">
        <v>334</v>
      </c>
    </row>
    <row r="31" spans="2:30" x14ac:dyDescent="0.25">
      <c r="B31" s="11">
        <v>0.73958333333333337</v>
      </c>
      <c r="C31" s="49">
        <v>51</v>
      </c>
      <c r="D31" s="49">
        <v>1</v>
      </c>
      <c r="E31" s="49">
        <v>5</v>
      </c>
      <c r="F31" s="49">
        <v>57</v>
      </c>
      <c r="G31" s="49">
        <v>82</v>
      </c>
      <c r="H31" s="49">
        <v>0</v>
      </c>
      <c r="I31" s="49">
        <v>5</v>
      </c>
      <c r="J31" s="49">
        <v>87</v>
      </c>
      <c r="K31" s="49">
        <v>144</v>
      </c>
      <c r="L31" s="49">
        <v>11</v>
      </c>
      <c r="M31" s="49">
        <v>0</v>
      </c>
      <c r="N31" s="49">
        <v>1</v>
      </c>
      <c r="O31" s="49">
        <v>12</v>
      </c>
      <c r="P31" s="49">
        <v>20</v>
      </c>
      <c r="Q31" s="49">
        <v>1</v>
      </c>
      <c r="R31" s="49">
        <v>0</v>
      </c>
      <c r="S31" s="49">
        <v>21</v>
      </c>
      <c r="T31" s="49">
        <v>33</v>
      </c>
      <c r="U31" s="49">
        <v>68</v>
      </c>
      <c r="V31" s="49">
        <v>0</v>
      </c>
      <c r="W31" s="49">
        <v>6</v>
      </c>
      <c r="X31" s="49">
        <v>74</v>
      </c>
      <c r="Y31" s="49">
        <v>15</v>
      </c>
      <c r="Z31" s="49">
        <v>0</v>
      </c>
      <c r="AA31" s="49">
        <v>0</v>
      </c>
      <c r="AB31" s="49">
        <v>15</v>
      </c>
      <c r="AC31" s="49">
        <v>89</v>
      </c>
      <c r="AD31" s="49">
        <v>266</v>
      </c>
    </row>
    <row r="32" spans="2:30" x14ac:dyDescent="0.25">
      <c r="B32" s="10" t="s">
        <v>91</v>
      </c>
      <c r="C32" s="49">
        <v>85</v>
      </c>
      <c r="D32" s="49">
        <v>3</v>
      </c>
      <c r="E32" s="49">
        <v>3</v>
      </c>
      <c r="F32" s="49">
        <v>91</v>
      </c>
      <c r="G32" s="49">
        <v>153</v>
      </c>
      <c r="H32" s="49">
        <v>10</v>
      </c>
      <c r="I32" s="49">
        <v>7</v>
      </c>
      <c r="J32" s="49">
        <v>170</v>
      </c>
      <c r="K32" s="49">
        <v>261</v>
      </c>
      <c r="L32" s="49">
        <v>34</v>
      </c>
      <c r="M32" s="49">
        <v>1</v>
      </c>
      <c r="N32" s="49">
        <v>1</v>
      </c>
      <c r="O32" s="49">
        <v>36</v>
      </c>
      <c r="P32" s="49">
        <v>70</v>
      </c>
      <c r="Q32" s="49">
        <v>3</v>
      </c>
      <c r="R32" s="49">
        <v>1</v>
      </c>
      <c r="S32" s="49">
        <v>74</v>
      </c>
      <c r="T32" s="49">
        <v>110</v>
      </c>
      <c r="U32" s="49">
        <v>159</v>
      </c>
      <c r="V32" s="49">
        <v>5</v>
      </c>
      <c r="W32" s="49">
        <v>8</v>
      </c>
      <c r="X32" s="49">
        <v>172</v>
      </c>
      <c r="Y32" s="49">
        <v>40</v>
      </c>
      <c r="Z32" s="49">
        <v>1</v>
      </c>
      <c r="AA32" s="49">
        <v>0</v>
      </c>
      <c r="AB32" s="49">
        <v>41</v>
      </c>
      <c r="AC32" s="49">
        <v>213</v>
      </c>
      <c r="AD32" s="49">
        <v>584</v>
      </c>
    </row>
    <row r="33" spans="2:30" x14ac:dyDescent="0.25">
      <c r="B33" s="11">
        <v>0.54166666666666663</v>
      </c>
      <c r="C33" s="49">
        <v>19</v>
      </c>
      <c r="D33" s="49">
        <v>2</v>
      </c>
      <c r="E33" s="49">
        <v>1</v>
      </c>
      <c r="F33" s="49">
        <v>22</v>
      </c>
      <c r="G33" s="49">
        <v>34</v>
      </c>
      <c r="H33" s="49">
        <v>3</v>
      </c>
      <c r="I33" s="49">
        <v>3</v>
      </c>
      <c r="J33" s="49">
        <v>40</v>
      </c>
      <c r="K33" s="49">
        <v>62</v>
      </c>
      <c r="L33" s="49">
        <v>7</v>
      </c>
      <c r="M33" s="49">
        <v>1</v>
      </c>
      <c r="N33" s="49">
        <v>0</v>
      </c>
      <c r="O33" s="49">
        <v>8</v>
      </c>
      <c r="P33" s="49">
        <v>15</v>
      </c>
      <c r="Q33" s="49">
        <v>0</v>
      </c>
      <c r="R33" s="49">
        <v>0</v>
      </c>
      <c r="S33" s="49">
        <v>15</v>
      </c>
      <c r="T33" s="49">
        <v>23</v>
      </c>
      <c r="U33" s="49">
        <v>41</v>
      </c>
      <c r="V33" s="49">
        <v>3</v>
      </c>
      <c r="W33" s="49">
        <v>2</v>
      </c>
      <c r="X33" s="49">
        <v>46</v>
      </c>
      <c r="Y33" s="49">
        <v>11</v>
      </c>
      <c r="Z33" s="49">
        <v>1</v>
      </c>
      <c r="AA33" s="49">
        <v>0</v>
      </c>
      <c r="AB33" s="49">
        <v>12</v>
      </c>
      <c r="AC33" s="49">
        <v>58</v>
      </c>
      <c r="AD33" s="49">
        <v>143</v>
      </c>
    </row>
    <row r="34" spans="2:30" x14ac:dyDescent="0.25">
      <c r="B34" s="11">
        <v>0.55208333333333337</v>
      </c>
      <c r="C34" s="49">
        <v>24</v>
      </c>
      <c r="D34" s="49">
        <v>0</v>
      </c>
      <c r="E34" s="49">
        <v>0</v>
      </c>
      <c r="F34" s="49">
        <v>24</v>
      </c>
      <c r="G34" s="49">
        <v>35</v>
      </c>
      <c r="H34" s="49">
        <v>2</v>
      </c>
      <c r="I34" s="49">
        <v>2</v>
      </c>
      <c r="J34" s="49">
        <v>39</v>
      </c>
      <c r="K34" s="49">
        <v>63</v>
      </c>
      <c r="L34" s="49">
        <v>9</v>
      </c>
      <c r="M34" s="49">
        <v>0</v>
      </c>
      <c r="N34" s="49">
        <v>0</v>
      </c>
      <c r="O34" s="49">
        <v>9</v>
      </c>
      <c r="P34" s="49">
        <v>19</v>
      </c>
      <c r="Q34" s="49">
        <v>1</v>
      </c>
      <c r="R34" s="49">
        <v>0</v>
      </c>
      <c r="S34" s="49">
        <v>20</v>
      </c>
      <c r="T34" s="49">
        <v>29</v>
      </c>
      <c r="U34" s="49">
        <v>37</v>
      </c>
      <c r="V34" s="49">
        <v>0</v>
      </c>
      <c r="W34" s="49">
        <v>2</v>
      </c>
      <c r="X34" s="49">
        <v>39</v>
      </c>
      <c r="Y34" s="49">
        <v>13</v>
      </c>
      <c r="Z34" s="49">
        <v>0</v>
      </c>
      <c r="AA34" s="49">
        <v>0</v>
      </c>
      <c r="AB34" s="49">
        <v>13</v>
      </c>
      <c r="AC34" s="49">
        <v>52</v>
      </c>
      <c r="AD34" s="49">
        <v>144</v>
      </c>
    </row>
    <row r="35" spans="2:30" x14ac:dyDescent="0.25">
      <c r="B35" s="11">
        <v>0.5625</v>
      </c>
      <c r="C35" s="49">
        <v>22</v>
      </c>
      <c r="D35" s="49">
        <v>1</v>
      </c>
      <c r="E35" s="49">
        <v>1</v>
      </c>
      <c r="F35" s="49">
        <v>24</v>
      </c>
      <c r="G35" s="49">
        <v>44</v>
      </c>
      <c r="H35" s="49">
        <v>2</v>
      </c>
      <c r="I35" s="49">
        <v>1</v>
      </c>
      <c r="J35" s="49">
        <v>47</v>
      </c>
      <c r="K35" s="49">
        <v>71</v>
      </c>
      <c r="L35" s="49">
        <v>8</v>
      </c>
      <c r="M35" s="49">
        <v>0</v>
      </c>
      <c r="N35" s="49">
        <v>0</v>
      </c>
      <c r="O35" s="49">
        <v>8</v>
      </c>
      <c r="P35" s="49">
        <v>14</v>
      </c>
      <c r="Q35" s="49">
        <v>0</v>
      </c>
      <c r="R35" s="49">
        <v>0</v>
      </c>
      <c r="S35" s="49">
        <v>14</v>
      </c>
      <c r="T35" s="49">
        <v>22</v>
      </c>
      <c r="U35" s="49">
        <v>43</v>
      </c>
      <c r="V35" s="49">
        <v>1</v>
      </c>
      <c r="W35" s="49">
        <v>2</v>
      </c>
      <c r="X35" s="49">
        <v>46</v>
      </c>
      <c r="Y35" s="49">
        <v>9</v>
      </c>
      <c r="Z35" s="49">
        <v>0</v>
      </c>
      <c r="AA35" s="49">
        <v>0</v>
      </c>
      <c r="AB35" s="49">
        <v>9</v>
      </c>
      <c r="AC35" s="49">
        <v>55</v>
      </c>
      <c r="AD35" s="49">
        <v>148</v>
      </c>
    </row>
    <row r="36" spans="2:30" x14ac:dyDescent="0.25">
      <c r="B36" s="11">
        <v>0.57291666666666663</v>
      </c>
      <c r="C36" s="49">
        <v>20</v>
      </c>
      <c r="D36" s="49">
        <v>0</v>
      </c>
      <c r="E36" s="49">
        <v>1</v>
      </c>
      <c r="F36" s="49">
        <v>21</v>
      </c>
      <c r="G36" s="49">
        <v>40</v>
      </c>
      <c r="H36" s="49">
        <v>3</v>
      </c>
      <c r="I36" s="49">
        <v>1</v>
      </c>
      <c r="J36" s="49">
        <v>44</v>
      </c>
      <c r="K36" s="49">
        <v>65</v>
      </c>
      <c r="L36" s="49">
        <v>10</v>
      </c>
      <c r="M36" s="49">
        <v>0</v>
      </c>
      <c r="N36" s="49">
        <v>1</v>
      </c>
      <c r="O36" s="49">
        <v>11</v>
      </c>
      <c r="P36" s="49">
        <v>22</v>
      </c>
      <c r="Q36" s="49">
        <v>2</v>
      </c>
      <c r="R36" s="49">
        <v>1</v>
      </c>
      <c r="S36" s="49">
        <v>25</v>
      </c>
      <c r="T36" s="49">
        <v>36</v>
      </c>
      <c r="U36" s="49">
        <v>38</v>
      </c>
      <c r="V36" s="49">
        <v>1</v>
      </c>
      <c r="W36" s="49">
        <v>2</v>
      </c>
      <c r="X36" s="49">
        <v>41</v>
      </c>
      <c r="Y36" s="49">
        <v>7</v>
      </c>
      <c r="Z36" s="49">
        <v>0</v>
      </c>
      <c r="AA36" s="49">
        <v>0</v>
      </c>
      <c r="AB36" s="49">
        <v>7</v>
      </c>
      <c r="AC36" s="49">
        <v>48</v>
      </c>
      <c r="AD36" s="49">
        <v>149</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1371</v>
      </c>
      <c r="I5">
        <f>MAX(I11:I303)</f>
        <v>584</v>
      </c>
      <c r="J5">
        <f>MAX(J11:J303)</f>
        <v>1370</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1371 vehicles between 08:00 and 09:00</v>
      </c>
      <c r="I8" s="6" t="str">
        <f>IF(I5=0,"","The peak hour for " &amp;I10&amp;" is "&amp;I5&amp;" vehicles between " &amp; TEXT(I6, "hh:mm")&amp; " and " &amp;TEXT(I7,"hh:mm"))</f>
        <v>The peak hour for INT is 584 vehicles between 13:00 and 14:00</v>
      </c>
      <c r="J8" s="6" t="str">
        <f>IF(J5=0,"","The peak hour for " &amp;J10&amp;" is "&amp;J5&amp;" vehicles between " &amp; TEXT(J6, "hh:mm")&amp; " and " &amp;TEXT(J7,"hh:mm"))</f>
        <v>The peak hour for PM is 1370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163</v>
      </c>
      <c r="C11" s="49"/>
      <c r="D11" s="49"/>
      <c r="G11" s="7">
        <f>A11</f>
        <v>0.29166666666666669</v>
      </c>
      <c r="H11">
        <f>IF(B11&lt;&gt;0,SUMIF($G$11:$G11,"&gt;"&amp;$G11-1/24,B$11:B11),0)</f>
        <v>163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163</v>
      </c>
      <c r="Q11">
        <f>P11*L11</f>
        <v>0</v>
      </c>
      <c r="S11" s="9">
        <v>0.29166666666666669</v>
      </c>
      <c r="T11" s="49">
        <v>163</v>
      </c>
      <c r="U11" s="49">
        <v>0</v>
      </c>
    </row>
    <row r="12" spans="1:21" x14ac:dyDescent="0.25">
      <c r="A12" s="9">
        <v>0.30208333333333331</v>
      </c>
      <c r="B12" s="49">
        <v>217</v>
      </c>
      <c r="C12" s="49"/>
      <c r="D12" s="49"/>
      <c r="G12" s="7">
        <f t="shared" ref="G12:G26" si="3">A12</f>
        <v>0.30208333333333331</v>
      </c>
      <c r="H12">
        <f>IF(B12&lt;&gt;0,SUMIF($G$11:$G12,"&gt;"&amp;$G12-1/24,B$11:B12),0)</f>
        <v>380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217</v>
      </c>
      <c r="Q12">
        <f t="shared" ref="Q12:Q75" si="7">P12*L12</f>
        <v>0</v>
      </c>
      <c r="S12" s="9">
        <v>0.30208333333333331</v>
      </c>
      <c r="T12" s="49">
        <v>217</v>
      </c>
      <c r="U12" s="49">
        <v>0</v>
      </c>
    </row>
    <row r="13" spans="1:21" x14ac:dyDescent="0.25">
      <c r="A13" s="9">
        <v>0.3125</v>
      </c>
      <c r="B13" s="49">
        <v>294</v>
      </c>
      <c r="C13" s="49"/>
      <c r="D13" s="49"/>
      <c r="G13" s="7">
        <f t="shared" si="3"/>
        <v>0.3125</v>
      </c>
      <c r="H13">
        <f>IF(B13&lt;&gt;0,SUMIF($G$11:$G13,"&gt;"&amp;$G13-1/24,B$11:B13),0)</f>
        <v>674</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294</v>
      </c>
      <c r="Q13">
        <f t="shared" si="7"/>
        <v>0</v>
      </c>
      <c r="S13" s="9">
        <v>0.3125</v>
      </c>
      <c r="T13" s="49">
        <v>294</v>
      </c>
      <c r="U13" s="49">
        <v>0</v>
      </c>
    </row>
    <row r="14" spans="1:21" x14ac:dyDescent="0.25">
      <c r="A14" s="9">
        <v>0.32291666666666669</v>
      </c>
      <c r="B14" s="49">
        <v>289</v>
      </c>
      <c r="C14" s="49"/>
      <c r="D14" s="49"/>
      <c r="G14" s="7">
        <f t="shared" si="3"/>
        <v>0.32291666666666669</v>
      </c>
      <c r="H14">
        <f>IF(B14&lt;&gt;0,SUMIF($G$11:$G14,"&gt;"&amp;$G14-1/24,B$11:B14),0)</f>
        <v>963</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289</v>
      </c>
      <c r="Q14">
        <f t="shared" si="7"/>
        <v>0</v>
      </c>
      <c r="S14" s="9">
        <v>0.32291666666666669</v>
      </c>
      <c r="T14" s="49">
        <v>289</v>
      </c>
      <c r="U14" s="49">
        <v>0</v>
      </c>
    </row>
    <row r="15" spans="1:21" x14ac:dyDescent="0.25">
      <c r="A15" s="9">
        <v>0.33333333333333331</v>
      </c>
      <c r="B15" s="49">
        <v>325</v>
      </c>
      <c r="C15" s="49"/>
      <c r="D15" s="49"/>
      <c r="G15" s="7">
        <f t="shared" si="3"/>
        <v>0.33333333333333331</v>
      </c>
      <c r="H15">
        <f>IF(B15&lt;&gt;0,SUMIF($G$11:$G15,"&gt;"&amp;$G15-1/24,B$11:B15),0)</f>
        <v>1125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325</v>
      </c>
      <c r="Q15">
        <f t="shared" si="7"/>
        <v>325</v>
      </c>
      <c r="S15" s="9">
        <v>0.33333333333333331</v>
      </c>
      <c r="T15" s="49">
        <v>325</v>
      </c>
      <c r="U15" s="49">
        <v>325</v>
      </c>
    </row>
    <row r="16" spans="1:21" x14ac:dyDescent="0.25">
      <c r="A16" s="9">
        <v>0.34375</v>
      </c>
      <c r="B16" s="49">
        <v>389</v>
      </c>
      <c r="C16" s="49"/>
      <c r="D16" s="49"/>
      <c r="G16" s="7">
        <f t="shared" si="3"/>
        <v>0.34375</v>
      </c>
      <c r="H16">
        <f>IF(B16&lt;&gt;0,SUMIF($G$11:$G16,"&gt;"&amp;$G16-1/24,B$11:B16),0)</f>
        <v>1297</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389</v>
      </c>
      <c r="Q16">
        <f t="shared" si="7"/>
        <v>389</v>
      </c>
      <c r="S16" s="9">
        <v>0.34375</v>
      </c>
      <c r="T16" s="49">
        <v>389</v>
      </c>
      <c r="U16" s="49">
        <v>389</v>
      </c>
    </row>
    <row r="17" spans="1:21" x14ac:dyDescent="0.25">
      <c r="A17" s="9">
        <v>0.35416666666666669</v>
      </c>
      <c r="B17" s="49">
        <v>358</v>
      </c>
      <c r="C17" s="49"/>
      <c r="D17" s="49"/>
      <c r="G17" s="7">
        <f t="shared" si="3"/>
        <v>0.35416666666666669</v>
      </c>
      <c r="H17">
        <f>IF(B17&lt;&gt;0,SUMIF($G$11:$G17,"&gt;"&amp;$G17-1/24,B$11:B17),0)</f>
        <v>1361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358</v>
      </c>
      <c r="Q17">
        <f t="shared" si="7"/>
        <v>358</v>
      </c>
      <c r="S17" s="9">
        <v>0.35416666666666669</v>
      </c>
      <c r="T17" s="49">
        <v>358</v>
      </c>
      <c r="U17" s="49">
        <v>358</v>
      </c>
    </row>
    <row r="18" spans="1:21" x14ac:dyDescent="0.25">
      <c r="A18" s="9">
        <v>0.36458333333333331</v>
      </c>
      <c r="B18" s="49">
        <v>299</v>
      </c>
      <c r="C18" s="49"/>
      <c r="D18" s="49"/>
      <c r="G18" s="7">
        <f t="shared" si="3"/>
        <v>0.36458333333333331</v>
      </c>
      <c r="H18">
        <f>IF(B18&lt;&gt;0,SUMIF($G$11:$G18,"&gt;"&amp;$G18-1/24,B$11:B18),0)</f>
        <v>1371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299</v>
      </c>
      <c r="Q18">
        <f t="shared" si="7"/>
        <v>299</v>
      </c>
      <c r="S18" s="9">
        <v>0.36458333333333331</v>
      </c>
      <c r="T18" s="49">
        <v>299</v>
      </c>
      <c r="U18" s="49">
        <v>299</v>
      </c>
    </row>
    <row r="19" spans="1:21" x14ac:dyDescent="0.25">
      <c r="A19" s="9">
        <v>0.54166666666666663</v>
      </c>
      <c r="B19" s="49"/>
      <c r="C19" s="49">
        <v>143</v>
      </c>
      <c r="D19" s="49"/>
      <c r="G19" s="7">
        <f t="shared" si="3"/>
        <v>0.54166666666666663</v>
      </c>
      <c r="H19">
        <f>IF(B19&lt;&gt;0,SUMIF($G$11:$G19,"&gt;"&amp;$G19-1/24,B$11:B19),0)</f>
        <v>0</v>
      </c>
      <c r="I19">
        <f>IF(C19&lt;&gt;0,SUMIF($G$11:$G19,"&gt;"&amp;$G19-1/24,C$11:C19),0)</f>
        <v>143</v>
      </c>
      <c r="J19">
        <f>IF(D19&lt;&gt;0,SUMIF($G$11:$G19,"&gt;"&amp;$G19-1/24,D$11:D19),0)</f>
        <v>0</v>
      </c>
      <c r="K19">
        <f>IF(E19&lt;&gt;0,SUMIF($G$11:$G19,"&gt;"&amp;$G19-1/24,E$11:E19),0)</f>
        <v>0</v>
      </c>
      <c r="L19">
        <f t="shared" si="4"/>
        <v>1</v>
      </c>
      <c r="N19" t="str">
        <f t="shared" si="5"/>
        <v>INT</v>
      </c>
      <c r="O19" s="7">
        <f t="shared" si="2"/>
        <v>0.54166666666666663</v>
      </c>
      <c r="P19">
        <f t="shared" si="6"/>
        <v>143</v>
      </c>
      <c r="Q19">
        <f t="shared" si="7"/>
        <v>143</v>
      </c>
      <c r="S19" s="9" t="s">
        <v>49</v>
      </c>
      <c r="T19" s="49">
        <v>2334</v>
      </c>
      <c r="U19" s="49">
        <v>1371</v>
      </c>
    </row>
    <row r="20" spans="1:21" x14ac:dyDescent="0.25">
      <c r="A20" s="9">
        <v>0.55208333333333337</v>
      </c>
      <c r="B20" s="49"/>
      <c r="C20" s="49">
        <v>144</v>
      </c>
      <c r="D20" s="49"/>
      <c r="G20" s="7">
        <f t="shared" si="3"/>
        <v>0.55208333333333337</v>
      </c>
      <c r="H20">
        <f>IF(B20&lt;&gt;0,SUMIF($G$11:$G20,"&gt;"&amp;$G20-1/24,B$11:B20),0)</f>
        <v>0</v>
      </c>
      <c r="I20">
        <f>IF(C20&lt;&gt;0,SUMIF($G$11:$G20,"&gt;"&amp;$G20-1/24,C$11:C20),0)</f>
        <v>287</v>
      </c>
      <c r="J20">
        <f>IF(D20&lt;&gt;0,SUMIF($G$11:$G20,"&gt;"&amp;$G20-1/24,D$11:D20),0)</f>
        <v>0</v>
      </c>
      <c r="K20">
        <f>IF(E20&lt;&gt;0,SUMIF($G$11:$G20,"&gt;"&amp;$G20-1/24,E$11:E20),0)</f>
        <v>0</v>
      </c>
      <c r="L20">
        <f t="shared" si="4"/>
        <v>1</v>
      </c>
      <c r="N20" t="str">
        <f t="shared" si="5"/>
        <v>INT</v>
      </c>
      <c r="O20" s="7">
        <f t="shared" si="2"/>
        <v>0.55208333333333337</v>
      </c>
      <c r="P20">
        <f t="shared" si="6"/>
        <v>144</v>
      </c>
      <c r="Q20">
        <f t="shared" si="7"/>
        <v>144</v>
      </c>
    </row>
    <row r="21" spans="1:21" x14ac:dyDescent="0.25">
      <c r="A21" s="9">
        <v>0.5625</v>
      </c>
      <c r="B21" s="49"/>
      <c r="C21" s="49">
        <v>148</v>
      </c>
      <c r="D21" s="49"/>
      <c r="G21" s="7">
        <f t="shared" si="3"/>
        <v>0.5625</v>
      </c>
      <c r="H21">
        <f>IF(B21&lt;&gt;0,SUMIF($G$11:$G21,"&gt;"&amp;$G21-1/24,B$11:B21),0)</f>
        <v>0</v>
      </c>
      <c r="I21">
        <f>IF(C21&lt;&gt;0,SUMIF($G$11:$G21,"&gt;"&amp;$G21-1/24,C$11:C21),0)</f>
        <v>435</v>
      </c>
      <c r="J21">
        <f>IF(D21&lt;&gt;0,SUMIF($G$11:$G21,"&gt;"&amp;$G21-1/24,D$11:D21),0)</f>
        <v>0</v>
      </c>
      <c r="K21">
        <f>IF(E21&lt;&gt;0,SUMIF($G$11:$G21,"&gt;"&amp;$G21-1/24,E$11:E21),0)</f>
        <v>0</v>
      </c>
      <c r="L21">
        <f t="shared" si="4"/>
        <v>1</v>
      </c>
      <c r="N21" t="str">
        <f t="shared" si="5"/>
        <v>INT</v>
      </c>
      <c r="O21" s="7">
        <f t="shared" si="2"/>
        <v>0.5625</v>
      </c>
      <c r="P21">
        <f t="shared" si="6"/>
        <v>148</v>
      </c>
      <c r="Q21">
        <f t="shared" si="7"/>
        <v>148</v>
      </c>
    </row>
    <row r="22" spans="1:21" x14ac:dyDescent="0.25">
      <c r="A22" s="9">
        <v>0.57291666666666663</v>
      </c>
      <c r="B22" s="49"/>
      <c r="C22" s="49">
        <v>149</v>
      </c>
      <c r="D22" s="49"/>
      <c r="G22" s="7">
        <f t="shared" si="3"/>
        <v>0.57291666666666663</v>
      </c>
      <c r="H22">
        <f>IF(B22&lt;&gt;0,SUMIF($G$11:$G22,"&gt;"&amp;$G22-1/24,B$11:B22),0)</f>
        <v>0</v>
      </c>
      <c r="I22">
        <f>IF(C22&lt;&gt;0,SUMIF($G$11:$G22,"&gt;"&amp;$G22-1/24,C$11:C22),0)</f>
        <v>584</v>
      </c>
      <c r="J22">
        <f>IF(D22&lt;&gt;0,SUMIF($G$11:$G22,"&gt;"&amp;$G22-1/24,D$11:D22),0)</f>
        <v>0</v>
      </c>
      <c r="K22">
        <f>IF(E22&lt;&gt;0,SUMIF($G$11:$G22,"&gt;"&amp;$G22-1/24,E$11:E22),0)</f>
        <v>0</v>
      </c>
      <c r="L22">
        <f t="shared" si="4"/>
        <v>1</v>
      </c>
      <c r="N22" t="str">
        <f t="shared" si="5"/>
        <v>INT</v>
      </c>
      <c r="O22" s="7">
        <f t="shared" si="2"/>
        <v>0.57291666666666663</v>
      </c>
      <c r="P22">
        <f t="shared" si="6"/>
        <v>149</v>
      </c>
      <c r="Q22">
        <f t="shared" si="7"/>
        <v>149</v>
      </c>
    </row>
    <row r="23" spans="1:21" x14ac:dyDescent="0.25">
      <c r="A23" s="9">
        <v>0.66666666666666663</v>
      </c>
      <c r="B23" s="49"/>
      <c r="C23" s="49"/>
      <c r="D23" s="49">
        <v>252</v>
      </c>
      <c r="G23" s="7">
        <f t="shared" si="3"/>
        <v>0.66666666666666663</v>
      </c>
      <c r="H23">
        <f>IF(B23&lt;&gt;0,SUMIF($G$11:$G23,"&gt;"&amp;$G23-1/24,B$11:B23),0)</f>
        <v>0</v>
      </c>
      <c r="I23">
        <f>IF(C23&lt;&gt;0,SUMIF($G$11:$G23,"&gt;"&amp;$G23-1/24,C$11:C23),0)</f>
        <v>0</v>
      </c>
      <c r="J23">
        <f>IF(D23&lt;&gt;0,SUMIF($G$11:$G23,"&gt;"&amp;$G23-1/24,D$11:D23),0)</f>
        <v>252</v>
      </c>
      <c r="K23">
        <f>IF(E23&lt;&gt;0,SUMIF($G$11:$G23,"&gt;"&amp;$G23-1/24,E$11:E23),0)</f>
        <v>0</v>
      </c>
      <c r="L23">
        <f t="shared" si="4"/>
        <v>0</v>
      </c>
      <c r="N23" t="str">
        <f t="shared" si="5"/>
        <v>PM</v>
      </c>
      <c r="O23" s="7">
        <f t="shared" si="2"/>
        <v>0.66666666666666663</v>
      </c>
      <c r="P23">
        <f t="shared" si="6"/>
        <v>252</v>
      </c>
      <c r="Q23">
        <f t="shared" si="7"/>
        <v>0</v>
      </c>
    </row>
    <row r="24" spans="1:21" x14ac:dyDescent="0.25">
      <c r="A24" s="9">
        <v>0.67708333333333337</v>
      </c>
      <c r="B24" s="49"/>
      <c r="C24" s="49"/>
      <c r="D24" s="49">
        <v>306</v>
      </c>
      <c r="G24" s="7">
        <f t="shared" si="3"/>
        <v>0.67708333333333337</v>
      </c>
      <c r="H24">
        <f>IF(B24&lt;&gt;0,SUMIF($G$11:$G24,"&gt;"&amp;$G24-1/24,B$11:B24),0)</f>
        <v>0</v>
      </c>
      <c r="I24">
        <f>IF(C24&lt;&gt;0,SUMIF($G$11:$G24,"&gt;"&amp;$G24-1/24,C$11:C24),0)</f>
        <v>0</v>
      </c>
      <c r="J24">
        <f>IF(D24&lt;&gt;0,SUMIF($G$11:$G24,"&gt;"&amp;$G24-1/24,D$11:D24),0)</f>
        <v>558</v>
      </c>
      <c r="K24">
        <f>IF(E24&lt;&gt;0,SUMIF($G$11:$G24,"&gt;"&amp;$G24-1/24,E$11:E24),0)</f>
        <v>0</v>
      </c>
      <c r="L24">
        <f t="shared" si="4"/>
        <v>0</v>
      </c>
      <c r="N24" t="str">
        <f t="shared" si="5"/>
        <v>PM</v>
      </c>
      <c r="O24" s="7">
        <f t="shared" si="2"/>
        <v>0.67708333333333337</v>
      </c>
      <c r="P24">
        <f t="shared" si="6"/>
        <v>306</v>
      </c>
      <c r="Q24">
        <f t="shared" si="7"/>
        <v>0</v>
      </c>
    </row>
    <row r="25" spans="1:21" x14ac:dyDescent="0.25">
      <c r="A25" s="9">
        <v>0.6875</v>
      </c>
      <c r="B25" s="49"/>
      <c r="C25" s="49"/>
      <c r="D25" s="49">
        <v>302</v>
      </c>
      <c r="G25" s="7">
        <f t="shared" si="3"/>
        <v>0.6875</v>
      </c>
      <c r="H25">
        <f>IF(B25&lt;&gt;0,SUMIF($G$11:$G25,"&gt;"&amp;$G25-1/24,B$11:B25),0)</f>
        <v>0</v>
      </c>
      <c r="I25">
        <f>IF(C25&lt;&gt;0,SUMIF($G$11:$G25,"&gt;"&amp;$G25-1/24,C$11:C25),0)</f>
        <v>0</v>
      </c>
      <c r="J25">
        <f>IF(D25&lt;&gt;0,SUMIF($G$11:$G25,"&gt;"&amp;$G25-1/24,D$11:D25),0)</f>
        <v>860</v>
      </c>
      <c r="K25">
        <f>IF(E25&lt;&gt;0,SUMIF($G$11:$G25,"&gt;"&amp;$G25-1/24,E$11:E25),0)</f>
        <v>0</v>
      </c>
      <c r="L25">
        <f t="shared" si="4"/>
        <v>0</v>
      </c>
      <c r="N25" t="str">
        <f t="shared" si="5"/>
        <v>PM</v>
      </c>
      <c r="O25" s="7">
        <f t="shared" si="2"/>
        <v>0.6875</v>
      </c>
      <c r="P25">
        <f t="shared" si="6"/>
        <v>302</v>
      </c>
      <c r="Q25">
        <f t="shared" si="7"/>
        <v>0</v>
      </c>
    </row>
    <row r="26" spans="1:21" x14ac:dyDescent="0.25">
      <c r="A26" s="9">
        <v>0.69791666666666663</v>
      </c>
      <c r="B26" s="49"/>
      <c r="C26" s="49"/>
      <c r="D26" s="49">
        <v>353</v>
      </c>
      <c r="G26" s="7">
        <f t="shared" si="3"/>
        <v>0.69791666666666663</v>
      </c>
      <c r="H26">
        <f>IF(B26&lt;&gt;0,SUMIF($G$11:$G26,"&gt;"&amp;$G26-1/24,B$11:B26),0)</f>
        <v>0</v>
      </c>
      <c r="I26">
        <f>IF(C26&lt;&gt;0,SUMIF($G$11:$G26,"&gt;"&amp;$G26-1/24,C$11:C26),0)</f>
        <v>0</v>
      </c>
      <c r="J26">
        <f>IF(D26&lt;&gt;0,SUMIF($G$11:$G26,"&gt;"&amp;$G26-1/24,D$11:D26),0)</f>
        <v>1213</v>
      </c>
      <c r="K26">
        <f>IF(E26&lt;&gt;0,SUMIF($G$11:$G26,"&gt;"&amp;$G26-1/24,E$11:E26),0)</f>
        <v>0</v>
      </c>
      <c r="L26">
        <f t="shared" si="4"/>
        <v>1</v>
      </c>
      <c r="N26" t="str">
        <f t="shared" si="5"/>
        <v>PM</v>
      </c>
      <c r="O26" s="7">
        <f t="shared" si="2"/>
        <v>0.69791666666666663</v>
      </c>
      <c r="P26">
        <f t="shared" si="6"/>
        <v>353</v>
      </c>
      <c r="Q26">
        <f t="shared" si="7"/>
        <v>353</v>
      </c>
    </row>
    <row r="27" spans="1:21" x14ac:dyDescent="0.25">
      <c r="A27" s="9">
        <v>0.70833333333333337</v>
      </c>
      <c r="B27" s="49"/>
      <c r="C27" s="49"/>
      <c r="D27" s="49">
        <v>339</v>
      </c>
      <c r="G27" s="7">
        <f t="shared" ref="G27:G90" si="8">A27</f>
        <v>0.70833333333333337</v>
      </c>
      <c r="H27">
        <f>IF(B27&lt;&gt;0,SUMIF($G$11:$G27,"&gt;"&amp;$G27-1/24,B$11:B27),0)</f>
        <v>0</v>
      </c>
      <c r="I27">
        <f>IF(C27&lt;&gt;0,SUMIF($G$11:$G27,"&gt;"&amp;$G27-1/24,C$11:C27),0)</f>
        <v>0</v>
      </c>
      <c r="J27">
        <f>IF(D27&lt;&gt;0,SUMIF($G$11:$G27,"&gt;"&amp;$G27-1/24,D$11:D27),0)</f>
        <v>1300</v>
      </c>
      <c r="K27">
        <f>IF(E27&lt;&gt;0,SUMIF($G$11:$G27,"&gt;"&amp;$G27-1/24,E$11:E27),0)</f>
        <v>0</v>
      </c>
      <c r="L27">
        <f t="shared" si="4"/>
        <v>1</v>
      </c>
      <c r="N27" t="str">
        <f t="shared" si="5"/>
        <v>PM</v>
      </c>
      <c r="O27" s="7">
        <f t="shared" si="2"/>
        <v>0.70833333333333337</v>
      </c>
      <c r="P27">
        <f t="shared" si="6"/>
        <v>339</v>
      </c>
      <c r="Q27">
        <f t="shared" si="7"/>
        <v>339</v>
      </c>
    </row>
    <row r="28" spans="1:21" x14ac:dyDescent="0.25">
      <c r="A28" s="9">
        <v>0.71875</v>
      </c>
      <c r="B28" s="49"/>
      <c r="C28" s="49"/>
      <c r="D28" s="49">
        <v>344</v>
      </c>
      <c r="G28" s="7">
        <f t="shared" si="8"/>
        <v>0.71875</v>
      </c>
      <c r="H28">
        <f>IF(B28&lt;&gt;0,SUMIF($G$11:$G28,"&gt;"&amp;$G28-1/24,B$11:B28),0)</f>
        <v>0</v>
      </c>
      <c r="I28">
        <f>IF(C28&lt;&gt;0,SUMIF($G$11:$G28,"&gt;"&amp;$G28-1/24,C$11:C28),0)</f>
        <v>0</v>
      </c>
      <c r="J28">
        <f>IF(D28&lt;&gt;0,SUMIF($G$11:$G28,"&gt;"&amp;$G28-1/24,D$11:D28),0)</f>
        <v>1338</v>
      </c>
      <c r="K28">
        <f>IF(E28&lt;&gt;0,SUMIF($G$11:$G28,"&gt;"&amp;$G28-1/24,E$11:E28),0)</f>
        <v>0</v>
      </c>
      <c r="L28">
        <f t="shared" si="4"/>
        <v>1</v>
      </c>
      <c r="N28" t="str">
        <f t="shared" si="5"/>
        <v>PM</v>
      </c>
      <c r="O28" s="7">
        <f t="shared" si="2"/>
        <v>0.71875</v>
      </c>
      <c r="P28">
        <f t="shared" si="6"/>
        <v>344</v>
      </c>
      <c r="Q28">
        <f t="shared" si="7"/>
        <v>344</v>
      </c>
    </row>
    <row r="29" spans="1:21" x14ac:dyDescent="0.25">
      <c r="A29" s="9">
        <v>0.72916666666666663</v>
      </c>
      <c r="B29" s="49"/>
      <c r="C29" s="49"/>
      <c r="D29" s="49">
        <v>334</v>
      </c>
      <c r="G29" s="7">
        <f t="shared" si="8"/>
        <v>0.72916666666666663</v>
      </c>
      <c r="H29">
        <f>IF(B29&lt;&gt;0,SUMIF($G$11:$G29,"&gt;"&amp;$G29-1/24,B$11:B29),0)</f>
        <v>0</v>
      </c>
      <c r="I29">
        <f>IF(C29&lt;&gt;0,SUMIF($G$11:$G29,"&gt;"&amp;$G29-1/24,C$11:C29),0)</f>
        <v>0</v>
      </c>
      <c r="J29">
        <f>IF(D29&lt;&gt;0,SUMIF($G$11:$G29,"&gt;"&amp;$G29-1/24,D$11:D29),0)</f>
        <v>1370</v>
      </c>
      <c r="K29">
        <f>IF(E29&lt;&gt;0,SUMIF($G$11:$G29,"&gt;"&amp;$G29-1/24,E$11:E29),0)</f>
        <v>0</v>
      </c>
      <c r="L29">
        <f t="shared" si="4"/>
        <v>1</v>
      </c>
      <c r="N29" t="str">
        <f t="shared" si="5"/>
        <v>PM</v>
      </c>
      <c r="O29" s="7">
        <f t="shared" si="2"/>
        <v>0.72916666666666663</v>
      </c>
      <c r="P29">
        <f t="shared" si="6"/>
        <v>334</v>
      </c>
      <c r="Q29">
        <f t="shared" si="7"/>
        <v>334</v>
      </c>
    </row>
    <row r="30" spans="1:21" x14ac:dyDescent="0.25">
      <c r="A30" s="9">
        <v>0.73958333333333337</v>
      </c>
      <c r="B30" s="49"/>
      <c r="C30" s="49"/>
      <c r="D30" s="49">
        <v>266</v>
      </c>
      <c r="G30" s="7">
        <f t="shared" si="8"/>
        <v>0.73958333333333337</v>
      </c>
      <c r="H30">
        <f>IF(B30&lt;&gt;0,SUMIF($G$11:$G30,"&gt;"&amp;$G30-1/24,B$11:B30),0)</f>
        <v>0</v>
      </c>
      <c r="I30">
        <f>IF(C30&lt;&gt;0,SUMIF($G$11:$G30,"&gt;"&amp;$G30-1/24,C$11:C30),0)</f>
        <v>0</v>
      </c>
      <c r="J30">
        <f>IF(D30&lt;&gt;0,SUMIF($G$11:$G30,"&gt;"&amp;$G30-1/24,D$11:D30),0)</f>
        <v>1283</v>
      </c>
      <c r="K30">
        <f>IF(E30&lt;&gt;0,SUMIF($G$11:$G30,"&gt;"&amp;$G30-1/24,E$11:E30),0)</f>
        <v>0</v>
      </c>
      <c r="L30">
        <f t="shared" si="4"/>
        <v>0</v>
      </c>
      <c r="N30" t="str">
        <f t="shared" si="5"/>
        <v>PM</v>
      </c>
      <c r="O30" s="7">
        <f t="shared" si="2"/>
        <v>0.73958333333333337</v>
      </c>
      <c r="P30">
        <f t="shared" si="6"/>
        <v>266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163</v>
      </c>
      <c r="E5" t="str">
        <f>"Vehicle Count by Exit Leg for "&amp;C2&amp;" Period"</f>
        <v>Vehicle Count by Exit Leg for AM Period</v>
      </c>
    </row>
    <row r="6" spans="2:5" x14ac:dyDescent="0.25">
      <c r="B6" s="9">
        <v>0.30208333333333331</v>
      </c>
      <c r="C6" s="49">
        <v>217</v>
      </c>
    </row>
    <row r="7" spans="2:5" x14ac:dyDescent="0.25">
      <c r="B7" s="9">
        <v>0.3125</v>
      </c>
      <c r="C7" s="49">
        <v>294</v>
      </c>
    </row>
    <row r="8" spans="2:5" x14ac:dyDescent="0.25">
      <c r="B8" s="9">
        <v>0.32291666666666669</v>
      </c>
      <c r="C8" s="49">
        <v>289</v>
      </c>
    </row>
    <row r="9" spans="2:5" x14ac:dyDescent="0.25">
      <c r="B9" s="9">
        <v>0.33333333333333331</v>
      </c>
      <c r="C9" s="49">
        <v>325</v>
      </c>
    </row>
    <row r="10" spans="2:5" x14ac:dyDescent="0.25">
      <c r="B10" s="9">
        <v>0.34375</v>
      </c>
      <c r="C10" s="49">
        <v>389</v>
      </c>
    </row>
    <row r="11" spans="2:5" x14ac:dyDescent="0.25">
      <c r="B11" s="9">
        <v>0.35416666666666669</v>
      </c>
      <c r="C11" s="49">
        <v>358</v>
      </c>
    </row>
    <row r="12" spans="2:5" x14ac:dyDescent="0.25">
      <c r="B12" s="9">
        <v>0.36458333333333331</v>
      </c>
      <c r="C12" s="49">
        <v>299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9" bestFit="1" customWidth="1"/>
    <col min="12" max="12" width="20.140625" bestFit="1" customWidth="1"/>
    <col min="13" max="13" width="15.85546875" bestFit="1" customWidth="1"/>
    <col min="14" max="14" width="8.28515625" customWidth="1"/>
    <col min="15" max="15" width="5.5703125" customWidth="1"/>
    <col min="16" max="18" width="3.28515625" customWidth="1"/>
    <col min="19" max="19" width="11.28515625" bestFit="1" customWidth="1"/>
    <col min="20" max="20" width="19" bestFit="1" customWidth="1"/>
    <col min="21" max="21" width="20.140625" bestFit="1" customWidth="1"/>
    <col min="22" max="22" width="15.8554687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94</v>
      </c>
      <c r="M25" s="25" t="s">
        <v>96</v>
      </c>
      <c r="T25" s="25" t="s">
        <v>93</v>
      </c>
      <c r="U25" s="25" t="s">
        <v>94</v>
      </c>
      <c r="V25" s="25" t="s">
        <v>96</v>
      </c>
      <c r="X25" s="13"/>
    </row>
    <row r="26" spans="2:24" x14ac:dyDescent="0.25">
      <c r="B26" s="9">
        <v>0.29166666666666669</v>
      </c>
      <c r="C26" s="50">
        <v>163</v>
      </c>
      <c r="J26" s="9">
        <v>0.29166666666666669</v>
      </c>
      <c r="K26" s="50">
        <v>37</v>
      </c>
      <c r="L26" s="50">
        <v>70</v>
      </c>
      <c r="M26" s="50">
        <v>56</v>
      </c>
      <c r="S26" s="9">
        <v>0.29166666666666669</v>
      </c>
      <c r="T26" s="50">
        <v>105</v>
      </c>
      <c r="U26" s="50">
        <v>49</v>
      </c>
      <c r="V26" s="50">
        <v>9</v>
      </c>
    </row>
    <row r="27" spans="2:24" x14ac:dyDescent="0.25">
      <c r="B27" s="9">
        <v>0.30208333333333331</v>
      </c>
      <c r="C27" s="50">
        <v>217</v>
      </c>
      <c r="J27" s="9">
        <v>0.30208333333333331</v>
      </c>
      <c r="K27" s="50">
        <v>61</v>
      </c>
      <c r="L27" s="50">
        <v>79</v>
      </c>
      <c r="M27" s="50">
        <v>77</v>
      </c>
      <c r="S27" s="9">
        <v>0.30208333333333331</v>
      </c>
      <c r="T27" s="50">
        <v>127</v>
      </c>
      <c r="U27" s="50">
        <v>65</v>
      </c>
      <c r="V27" s="50">
        <v>25</v>
      </c>
    </row>
    <row r="28" spans="2:24" x14ac:dyDescent="0.25">
      <c r="B28" s="9">
        <v>0.3125</v>
      </c>
      <c r="C28" s="50">
        <v>294</v>
      </c>
      <c r="J28" s="9">
        <v>0.3125</v>
      </c>
      <c r="K28" s="50">
        <v>77</v>
      </c>
      <c r="L28" s="50">
        <v>124</v>
      </c>
      <c r="M28" s="50">
        <v>93</v>
      </c>
      <c r="S28" s="9">
        <v>0.3125</v>
      </c>
      <c r="T28" s="50">
        <v>185</v>
      </c>
      <c r="U28" s="50">
        <v>89</v>
      </c>
      <c r="V28" s="50">
        <v>20</v>
      </c>
    </row>
    <row r="29" spans="2:24" x14ac:dyDescent="0.25">
      <c r="B29" s="9">
        <v>0.32291666666666669</v>
      </c>
      <c r="C29" s="50">
        <v>289</v>
      </c>
      <c r="J29" s="9">
        <v>0.32291666666666669</v>
      </c>
      <c r="K29" s="50">
        <v>76</v>
      </c>
      <c r="L29" s="50">
        <v>122</v>
      </c>
      <c r="M29" s="50">
        <v>91</v>
      </c>
      <c r="S29" s="9">
        <v>0.32291666666666669</v>
      </c>
      <c r="T29" s="50">
        <v>187</v>
      </c>
      <c r="U29" s="50">
        <v>86</v>
      </c>
      <c r="V29" s="50">
        <v>16</v>
      </c>
    </row>
    <row r="30" spans="2:24" x14ac:dyDescent="0.25">
      <c r="B30" s="9">
        <v>0.33333333333333331</v>
      </c>
      <c r="C30" s="50">
        <v>325</v>
      </c>
      <c r="J30" s="9">
        <v>0.33333333333333331</v>
      </c>
      <c r="K30" s="50">
        <v>93</v>
      </c>
      <c r="L30" s="50">
        <v>143</v>
      </c>
      <c r="M30" s="50">
        <v>89</v>
      </c>
      <c r="S30" s="9">
        <v>0.33333333333333331</v>
      </c>
      <c r="T30" s="50">
        <v>209</v>
      </c>
      <c r="U30" s="50">
        <v>89</v>
      </c>
      <c r="V30" s="50">
        <v>27</v>
      </c>
    </row>
    <row r="31" spans="2:24" x14ac:dyDescent="0.25">
      <c r="B31" s="9">
        <v>0.34375</v>
      </c>
      <c r="C31" s="50">
        <v>389</v>
      </c>
      <c r="J31" s="9">
        <v>0.34375</v>
      </c>
      <c r="K31" s="50">
        <v>106</v>
      </c>
      <c r="L31" s="50">
        <v>148</v>
      </c>
      <c r="M31" s="50">
        <v>135</v>
      </c>
      <c r="S31" s="9">
        <v>0.34375</v>
      </c>
      <c r="T31" s="50">
        <v>238</v>
      </c>
      <c r="U31" s="50">
        <v>127</v>
      </c>
      <c r="V31" s="50">
        <v>24</v>
      </c>
    </row>
    <row r="32" spans="2:24" x14ac:dyDescent="0.25">
      <c r="B32" s="9">
        <v>0.35416666666666669</v>
      </c>
      <c r="C32" s="50">
        <v>358</v>
      </c>
      <c r="J32" s="9">
        <v>0.35416666666666669</v>
      </c>
      <c r="K32" s="50">
        <v>111</v>
      </c>
      <c r="L32" s="50">
        <v>151</v>
      </c>
      <c r="M32" s="50">
        <v>96</v>
      </c>
      <c r="S32" s="9">
        <v>0.35416666666666669</v>
      </c>
      <c r="T32" s="50">
        <v>223</v>
      </c>
      <c r="U32" s="50">
        <v>109</v>
      </c>
      <c r="V32" s="50">
        <v>26</v>
      </c>
    </row>
    <row r="33" spans="2:22" x14ac:dyDescent="0.25">
      <c r="B33" s="9">
        <v>0.36458333333333331</v>
      </c>
      <c r="C33" s="50">
        <v>299</v>
      </c>
      <c r="J33" s="9">
        <v>0.36458333333333331</v>
      </c>
      <c r="K33" s="50">
        <v>108</v>
      </c>
      <c r="L33" s="50">
        <v>127</v>
      </c>
      <c r="M33" s="50">
        <v>64</v>
      </c>
      <c r="S33" s="9">
        <v>0.36458333333333331</v>
      </c>
      <c r="T33" s="50">
        <v>168</v>
      </c>
      <c r="U33" s="50">
        <v>93</v>
      </c>
      <c r="V33" s="50">
        <v>38</v>
      </c>
    </row>
    <row r="34" spans="2:22" x14ac:dyDescent="0.25">
      <c r="B34" s="9" t="s">
        <v>49</v>
      </c>
      <c r="C34" s="50">
        <v>2334</v>
      </c>
      <c r="J34" s="9" t="s">
        <v>49</v>
      </c>
      <c r="K34" s="50">
        <v>669</v>
      </c>
      <c r="L34" s="50">
        <v>964</v>
      </c>
      <c r="M34" s="50">
        <v>701</v>
      </c>
      <c r="S34" s="9" t="s">
        <v>49</v>
      </c>
      <c r="T34" s="50">
        <v>1442</v>
      </c>
      <c r="U34" s="50">
        <v>707</v>
      </c>
      <c r="V34" s="50">
        <v>185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29.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1371 vehicles between 08:00 and 09:00</v>
      </c>
    </row>
    <row r="5" spans="2:2" x14ac:dyDescent="0.25">
      <c r="B5" s="6" t="str">
        <f>PeakCalc!I8</f>
        <v>The peak hour for INT is 584 vehicles between 13:00 and 14:00</v>
      </c>
    </row>
    <row r="6" spans="2:2" x14ac:dyDescent="0.25">
      <c r="B6" s="6" t="str">
        <f>PeakCalc!J8</f>
        <v>The peak hour for PM is 1370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90</v>
      </c>
      <c r="E31" s="24" t="s">
        <v>88</v>
      </c>
      <c r="F31" s="54"/>
      <c r="G31" s="24" t="s">
        <v>79</v>
      </c>
      <c r="H31" s="24" t="s">
        <v>90</v>
      </c>
      <c r="I31" s="24" t="s">
        <v>88</v>
      </c>
      <c r="J31" s="52"/>
      <c r="K31" s="24" t="s">
        <v>79</v>
      </c>
      <c r="L31" s="24" t="s">
        <v>90</v>
      </c>
      <c r="M31" s="24" t="s">
        <v>88</v>
      </c>
      <c r="N31" s="52"/>
    </row>
    <row r="32" spans="2:14" x14ac:dyDescent="0.25">
      <c r="B32" s="10" t="s">
        <v>93</v>
      </c>
      <c r="C32" s="49">
        <v>382</v>
      </c>
      <c r="D32" s="49">
        <v>11</v>
      </c>
      <c r="E32" s="49">
        <v>25</v>
      </c>
      <c r="F32" s="49">
        <v>418</v>
      </c>
      <c r="G32" s="49">
        <v>604</v>
      </c>
      <c r="H32" s="49">
        <v>6</v>
      </c>
      <c r="I32" s="49">
        <v>39</v>
      </c>
      <c r="J32" s="49">
        <v>649</v>
      </c>
      <c r="K32" s="49">
        <v>238</v>
      </c>
      <c r="L32" s="49">
        <v>13</v>
      </c>
      <c r="M32" s="49">
        <v>10</v>
      </c>
      <c r="N32" s="49">
        <v>261</v>
      </c>
    </row>
    <row r="33" spans="2:14" x14ac:dyDescent="0.25">
      <c r="B33" s="14" t="s">
        <v>95</v>
      </c>
      <c r="C33" s="49">
        <v>76</v>
      </c>
      <c r="D33" s="49">
        <v>5</v>
      </c>
      <c r="E33" s="49">
        <v>3</v>
      </c>
      <c r="F33" s="49">
        <v>84</v>
      </c>
      <c r="G33" s="49">
        <v>201</v>
      </c>
      <c r="H33" s="49">
        <v>4</v>
      </c>
      <c r="I33" s="49">
        <v>14</v>
      </c>
      <c r="J33" s="49">
        <v>219</v>
      </c>
      <c r="K33" s="49">
        <v>85</v>
      </c>
      <c r="L33" s="49">
        <v>3</v>
      </c>
      <c r="M33" s="49">
        <v>3</v>
      </c>
      <c r="N33" s="49">
        <v>91</v>
      </c>
    </row>
    <row r="34" spans="2:14" x14ac:dyDescent="0.25">
      <c r="B34" s="14" t="s">
        <v>97</v>
      </c>
      <c r="C34" s="49">
        <v>306</v>
      </c>
      <c r="D34" s="49">
        <v>6</v>
      </c>
      <c r="E34" s="49">
        <v>22</v>
      </c>
      <c r="F34" s="49">
        <v>334</v>
      </c>
      <c r="G34" s="49">
        <v>403</v>
      </c>
      <c r="H34" s="49">
        <v>2</v>
      </c>
      <c r="I34" s="49">
        <v>25</v>
      </c>
      <c r="J34" s="49">
        <v>430</v>
      </c>
      <c r="K34" s="49">
        <v>153</v>
      </c>
      <c r="L34" s="49">
        <v>10</v>
      </c>
      <c r="M34" s="49">
        <v>7</v>
      </c>
      <c r="N34" s="49">
        <v>170</v>
      </c>
    </row>
    <row r="35" spans="2:14" x14ac:dyDescent="0.25">
      <c r="B35" s="10" t="s">
        <v>96</v>
      </c>
      <c r="C35" s="49">
        <v>348</v>
      </c>
      <c r="D35" s="49">
        <v>7</v>
      </c>
      <c r="E35" s="49">
        <v>29</v>
      </c>
      <c r="F35" s="49">
        <v>384</v>
      </c>
      <c r="G35" s="49">
        <v>153</v>
      </c>
      <c r="H35" s="49">
        <v>8</v>
      </c>
      <c r="I35" s="49">
        <v>3</v>
      </c>
      <c r="J35" s="49">
        <v>164</v>
      </c>
      <c r="K35" s="49">
        <v>104</v>
      </c>
      <c r="L35" s="49">
        <v>4</v>
      </c>
      <c r="M35" s="49">
        <v>2</v>
      </c>
      <c r="N35" s="49">
        <v>110</v>
      </c>
    </row>
    <row r="36" spans="2:14" x14ac:dyDescent="0.25">
      <c r="B36" s="14" t="s">
        <v>98</v>
      </c>
      <c r="C36" s="49">
        <v>80</v>
      </c>
      <c r="D36" s="49">
        <v>2</v>
      </c>
      <c r="E36" s="49">
        <v>2</v>
      </c>
      <c r="F36" s="49">
        <v>84</v>
      </c>
      <c r="G36" s="49">
        <v>48</v>
      </c>
      <c r="H36" s="49">
        <v>5</v>
      </c>
      <c r="I36" s="49">
        <v>1</v>
      </c>
      <c r="J36" s="49">
        <v>54</v>
      </c>
      <c r="K36" s="49">
        <v>34</v>
      </c>
      <c r="L36" s="49">
        <v>1</v>
      </c>
      <c r="M36" s="49">
        <v>1</v>
      </c>
      <c r="N36" s="49">
        <v>36</v>
      </c>
    </row>
    <row r="37" spans="2:14" x14ac:dyDescent="0.25">
      <c r="B37" s="14" t="s">
        <v>99</v>
      </c>
      <c r="C37" s="49">
        <v>268</v>
      </c>
      <c r="D37" s="49">
        <v>5</v>
      </c>
      <c r="E37" s="49">
        <v>27</v>
      </c>
      <c r="F37" s="49">
        <v>300</v>
      </c>
      <c r="G37" s="49">
        <v>105</v>
      </c>
      <c r="H37" s="49">
        <v>3</v>
      </c>
      <c r="I37" s="49">
        <v>2</v>
      </c>
      <c r="J37" s="49">
        <v>110</v>
      </c>
      <c r="K37" s="49">
        <v>70</v>
      </c>
      <c r="L37" s="49">
        <v>3</v>
      </c>
      <c r="M37" s="49">
        <v>1</v>
      </c>
      <c r="N37" s="49">
        <v>74</v>
      </c>
    </row>
    <row r="38" spans="2:14" x14ac:dyDescent="0.25">
      <c r="B38" s="10" t="s">
        <v>94</v>
      </c>
      <c r="C38" s="49">
        <v>527</v>
      </c>
      <c r="D38" s="49">
        <v>16</v>
      </c>
      <c r="E38" s="49">
        <v>26</v>
      </c>
      <c r="F38" s="49">
        <v>569</v>
      </c>
      <c r="G38" s="49">
        <v>522</v>
      </c>
      <c r="H38" s="49">
        <v>9</v>
      </c>
      <c r="I38" s="49">
        <v>26</v>
      </c>
      <c r="J38" s="49">
        <v>557</v>
      </c>
      <c r="K38" s="49">
        <v>199</v>
      </c>
      <c r="L38" s="49">
        <v>6</v>
      </c>
      <c r="M38" s="49">
        <v>8</v>
      </c>
      <c r="N38" s="49">
        <v>213</v>
      </c>
    </row>
    <row r="39" spans="2:14" x14ac:dyDescent="0.25">
      <c r="B39" s="14" t="s">
        <v>100</v>
      </c>
      <c r="C39" s="49">
        <v>500</v>
      </c>
      <c r="D39" s="49">
        <v>12</v>
      </c>
      <c r="E39" s="49">
        <v>26</v>
      </c>
      <c r="F39" s="49">
        <v>538</v>
      </c>
      <c r="G39" s="49">
        <v>414</v>
      </c>
      <c r="H39" s="49">
        <v>8</v>
      </c>
      <c r="I39" s="49">
        <v>24</v>
      </c>
      <c r="J39" s="49">
        <v>446</v>
      </c>
      <c r="K39" s="49">
        <v>159</v>
      </c>
      <c r="L39" s="49">
        <v>5</v>
      </c>
      <c r="M39" s="49">
        <v>8</v>
      </c>
      <c r="N39" s="49">
        <v>172</v>
      </c>
    </row>
    <row r="40" spans="2:14" x14ac:dyDescent="0.25">
      <c r="B40" s="14" t="s">
        <v>101</v>
      </c>
      <c r="C40" s="49">
        <v>27</v>
      </c>
      <c r="D40" s="49">
        <v>4</v>
      </c>
      <c r="E40" s="49">
        <v>0</v>
      </c>
      <c r="F40" s="49">
        <v>31</v>
      </c>
      <c r="G40" s="49">
        <v>108</v>
      </c>
      <c r="H40" s="49">
        <v>1</v>
      </c>
      <c r="I40" s="49">
        <v>2</v>
      </c>
      <c r="J40" s="49">
        <v>111</v>
      </c>
      <c r="K40" s="49">
        <v>40</v>
      </c>
      <c r="L40" s="49">
        <v>1</v>
      </c>
      <c r="M40" s="49">
        <v>0</v>
      </c>
      <c r="N40" s="49">
        <v>41</v>
      </c>
    </row>
    <row r="41" spans="2:14" x14ac:dyDescent="0.25">
      <c r="B41" s="10" t="s">
        <v>49</v>
      </c>
      <c r="C41" s="49">
        <v>1257</v>
      </c>
      <c r="D41" s="49">
        <v>34</v>
      </c>
      <c r="E41" s="49">
        <v>80</v>
      </c>
      <c r="F41" s="49">
        <v>1371</v>
      </c>
      <c r="G41" s="49">
        <v>1279</v>
      </c>
      <c r="H41" s="49">
        <v>23</v>
      </c>
      <c r="I41" s="49">
        <v>68</v>
      </c>
      <c r="J41" s="49">
        <v>1370</v>
      </c>
      <c r="K41" s="49">
        <v>541</v>
      </c>
      <c r="L41" s="49">
        <v>23</v>
      </c>
      <c r="M41" s="49">
        <v>20</v>
      </c>
      <c r="N41" s="49">
        <v>584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6EC1A-F630-45DA-A1C4-811FF0FB36A2}">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v>
      </c>
      <c r="T15" s="55" t="s">
        <v>113</v>
      </c>
      <c r="U15" s="55">
        <v>29</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14</v>
      </c>
      <c r="AJ15" s="55" t="s">
        <v>113</v>
      </c>
      <c r="AK15" s="55" t="s">
        <v>113</v>
      </c>
      <c r="AL15" s="55" t="s">
        <v>113</v>
      </c>
      <c r="AM15" s="55">
        <v>39</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58</v>
      </c>
      <c r="BB15" s="55" t="s">
        <v>113</v>
      </c>
      <c r="BC15" s="55">
        <v>4</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11</v>
      </c>
      <c r="T16" s="55" t="s">
        <v>113</v>
      </c>
      <c r="U16" s="55">
        <v>46</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16</v>
      </c>
      <c r="AJ16" s="55" t="s">
        <v>113</v>
      </c>
      <c r="AK16" s="55" t="s">
        <v>113</v>
      </c>
      <c r="AL16" s="55" t="s">
        <v>113</v>
      </c>
      <c r="AM16" s="55">
        <v>55</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64</v>
      </c>
      <c r="BB16" s="55" t="s">
        <v>113</v>
      </c>
      <c r="BC16" s="55">
        <v>9</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10</v>
      </c>
      <c r="T17" s="55" t="s">
        <v>113</v>
      </c>
      <c r="U17" s="55">
        <v>64</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21</v>
      </c>
      <c r="AJ17" s="55" t="s">
        <v>113</v>
      </c>
      <c r="AK17" s="55" t="s">
        <v>113</v>
      </c>
      <c r="AL17" s="55" t="s">
        <v>113</v>
      </c>
      <c r="AM17" s="55">
        <v>64</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107</v>
      </c>
      <c r="BB17" s="55" t="s">
        <v>113</v>
      </c>
      <c r="BC17" s="55">
        <v>8</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9</v>
      </c>
      <c r="T18" s="55" t="s">
        <v>113</v>
      </c>
      <c r="U18" s="55">
        <v>64</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19</v>
      </c>
      <c r="AJ18" s="55" t="s">
        <v>113</v>
      </c>
      <c r="AK18" s="55" t="s">
        <v>113</v>
      </c>
      <c r="AL18" s="55" t="s">
        <v>113</v>
      </c>
      <c r="AM18" s="55">
        <v>65</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110</v>
      </c>
      <c r="BB18" s="55" t="s">
        <v>113</v>
      </c>
      <c r="BC18" s="55">
        <v>5</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19</v>
      </c>
      <c r="T19" s="55" t="s">
        <v>113</v>
      </c>
      <c r="U19" s="55">
        <v>70</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15</v>
      </c>
      <c r="AJ19" s="55" t="s">
        <v>113</v>
      </c>
      <c r="AK19" s="55" t="s">
        <v>113</v>
      </c>
      <c r="AL19" s="55" t="s">
        <v>113</v>
      </c>
      <c r="AM19" s="55">
        <v>62</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126</v>
      </c>
      <c r="BB19" s="55" t="s">
        <v>113</v>
      </c>
      <c r="BC19" s="55">
        <v>6</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13</v>
      </c>
      <c r="T20" s="55" t="s">
        <v>113</v>
      </c>
      <c r="U20" s="55">
        <v>87</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36</v>
      </c>
      <c r="AJ20" s="55" t="s">
        <v>113</v>
      </c>
      <c r="AK20" s="55" t="s">
        <v>113</v>
      </c>
      <c r="AL20" s="55" t="s">
        <v>113</v>
      </c>
      <c r="AM20" s="55">
        <v>87</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135</v>
      </c>
      <c r="BB20" s="55" t="s">
        <v>113</v>
      </c>
      <c r="BC20" s="55">
        <v>8</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22</v>
      </c>
      <c r="T21" s="55" t="s">
        <v>113</v>
      </c>
      <c r="U21" s="55">
        <v>73</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18</v>
      </c>
      <c r="AJ21" s="55" t="s">
        <v>113</v>
      </c>
      <c r="AK21" s="55" t="s">
        <v>113</v>
      </c>
      <c r="AL21" s="55" t="s">
        <v>113</v>
      </c>
      <c r="AM21" s="55">
        <v>68</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135</v>
      </c>
      <c r="BB21" s="55" t="s">
        <v>113</v>
      </c>
      <c r="BC21" s="55">
        <v>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22</v>
      </c>
      <c r="T22" s="55" t="s">
        <v>113</v>
      </c>
      <c r="U22" s="55">
        <v>76</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11</v>
      </c>
      <c r="AJ22" s="55" t="s">
        <v>113</v>
      </c>
      <c r="AK22" s="55" t="s">
        <v>113</v>
      </c>
      <c r="AL22" s="55" t="s">
        <v>113</v>
      </c>
      <c r="AM22" s="55">
        <v>51</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104</v>
      </c>
      <c r="BB22" s="55" t="s">
        <v>113</v>
      </c>
      <c r="BC22" s="55">
        <v>9</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19</v>
      </c>
      <c r="T24" s="55" t="s">
        <v>113</v>
      </c>
      <c r="U24" s="55">
        <v>34</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7</v>
      </c>
      <c r="AJ24" s="55" t="s">
        <v>113</v>
      </c>
      <c r="AK24" s="55" t="s">
        <v>113</v>
      </c>
      <c r="AL24" s="55" t="s">
        <v>113</v>
      </c>
      <c r="AM24" s="55">
        <v>15</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41</v>
      </c>
      <c r="BB24" s="55" t="s">
        <v>113</v>
      </c>
      <c r="BC24" s="55">
        <v>11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24</v>
      </c>
      <c r="T25" s="55" t="s">
        <v>113</v>
      </c>
      <c r="U25" s="55">
        <v>35</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9</v>
      </c>
      <c r="AJ25" s="55" t="s">
        <v>113</v>
      </c>
      <c r="AK25" s="55" t="s">
        <v>113</v>
      </c>
      <c r="AL25" s="55" t="s">
        <v>113</v>
      </c>
      <c r="AM25" s="55">
        <v>19</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37</v>
      </c>
      <c r="BB25" s="55" t="s">
        <v>113</v>
      </c>
      <c r="BC25" s="55">
        <v>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22</v>
      </c>
      <c r="T26" s="55" t="s">
        <v>113</v>
      </c>
      <c r="U26" s="55">
        <v>44</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8</v>
      </c>
      <c r="AJ26" s="55" t="s">
        <v>113</v>
      </c>
      <c r="AK26" s="55" t="s">
        <v>113</v>
      </c>
      <c r="AL26" s="55" t="s">
        <v>113</v>
      </c>
      <c r="AM26" s="55">
        <v>14</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43</v>
      </c>
      <c r="BB26" s="55" t="s">
        <v>113</v>
      </c>
      <c r="BC26" s="55">
        <v>9</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20</v>
      </c>
      <c r="T27" s="55" t="s">
        <v>113</v>
      </c>
      <c r="U27" s="55">
        <v>40</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10</v>
      </c>
      <c r="AJ27" s="55" t="s">
        <v>113</v>
      </c>
      <c r="AK27" s="55" t="s">
        <v>113</v>
      </c>
      <c r="AL27" s="55" t="s">
        <v>113</v>
      </c>
      <c r="AM27" s="55">
        <v>22</v>
      </c>
      <c r="AN27" s="55" t="s">
        <v>113</v>
      </c>
      <c r="AO27" s="55">
        <v>1</v>
      </c>
      <c r="AP27" s="55" t="s">
        <v>113</v>
      </c>
      <c r="AQ27" s="55" t="s">
        <v>113</v>
      </c>
      <c r="AR27" s="55" t="s">
        <v>113</v>
      </c>
      <c r="AS27" s="55" t="s">
        <v>113</v>
      </c>
      <c r="AT27" s="55" t="s">
        <v>113</v>
      </c>
      <c r="AU27" s="55" t="s">
        <v>113</v>
      </c>
      <c r="AV27" s="55" t="s">
        <v>113</v>
      </c>
      <c r="AW27" s="55" t="s">
        <v>113</v>
      </c>
      <c r="AX27" s="55" t="s">
        <v>113</v>
      </c>
      <c r="AY27" s="55" t="s">
        <v>113</v>
      </c>
      <c r="AZ27" s="55" t="s">
        <v>113</v>
      </c>
      <c r="BA27" s="55">
        <v>38</v>
      </c>
      <c r="BB27" s="55" t="s">
        <v>113</v>
      </c>
      <c r="BC27" s="55">
        <v>7</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1</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33</v>
      </c>
      <c r="T29" s="55" t="s">
        <v>113</v>
      </c>
      <c r="U29" s="55">
        <v>84</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6</v>
      </c>
      <c r="AJ29" s="55" t="s">
        <v>113</v>
      </c>
      <c r="AK29" s="55" t="s">
        <v>113</v>
      </c>
      <c r="AL29" s="55" t="s">
        <v>113</v>
      </c>
      <c r="AM29" s="55">
        <v>25</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69</v>
      </c>
      <c r="BB29" s="55" t="s">
        <v>113</v>
      </c>
      <c r="BC29" s="55">
        <v>21</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36</v>
      </c>
      <c r="T30" s="55" t="s">
        <v>113</v>
      </c>
      <c r="U30" s="55">
        <v>94</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23</v>
      </c>
      <c r="AJ30" s="55" t="s">
        <v>113</v>
      </c>
      <c r="AK30" s="55" t="s">
        <v>113</v>
      </c>
      <c r="AL30" s="55" t="s">
        <v>113</v>
      </c>
      <c r="AM30" s="55">
        <v>27</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96</v>
      </c>
      <c r="BB30" s="55" t="s">
        <v>113</v>
      </c>
      <c r="BC30" s="55">
        <v>18</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38</v>
      </c>
      <c r="T31" s="55" t="s">
        <v>113</v>
      </c>
      <c r="U31" s="55">
        <v>89</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12</v>
      </c>
      <c r="AJ31" s="55" t="s">
        <v>113</v>
      </c>
      <c r="AK31" s="55" t="s">
        <v>113</v>
      </c>
      <c r="AL31" s="55" t="s">
        <v>113</v>
      </c>
      <c r="AM31" s="55">
        <v>37</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98</v>
      </c>
      <c r="BB31" s="55" t="s">
        <v>113</v>
      </c>
      <c r="BC31" s="55">
        <v>15</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59</v>
      </c>
      <c r="T32" s="55" t="s">
        <v>113</v>
      </c>
      <c r="U32" s="55">
        <v>105</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13</v>
      </c>
      <c r="AJ32" s="55" t="s">
        <v>113</v>
      </c>
      <c r="AK32" s="55" t="s">
        <v>113</v>
      </c>
      <c r="AL32" s="55" t="s">
        <v>113</v>
      </c>
      <c r="AM32" s="55">
        <v>20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104</v>
      </c>
      <c r="BB32" s="55" t="s">
        <v>113</v>
      </c>
      <c r="BC32" s="55">
        <v>31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47</v>
      </c>
      <c r="T33" s="55" t="s">
        <v>113</v>
      </c>
      <c r="U33" s="55">
        <v>103</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16</v>
      </c>
      <c r="AJ33" s="55" t="s">
        <v>113</v>
      </c>
      <c r="AK33" s="55" t="s">
        <v>113</v>
      </c>
      <c r="AL33" s="55" t="s">
        <v>113</v>
      </c>
      <c r="AM33" s="55">
        <v>33</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95</v>
      </c>
      <c r="BB33" s="55" t="s">
        <v>113</v>
      </c>
      <c r="BC33" s="55">
        <v>26</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53</v>
      </c>
      <c r="T34" s="55" t="s">
        <v>113</v>
      </c>
      <c r="U34" s="55">
        <v>103</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10</v>
      </c>
      <c r="AJ34" s="55" t="s">
        <v>113</v>
      </c>
      <c r="AK34" s="55" t="s">
        <v>113</v>
      </c>
      <c r="AL34" s="55" t="s">
        <v>113</v>
      </c>
      <c r="AM34" s="55">
        <v>30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107</v>
      </c>
      <c r="BB34" s="55" t="s">
        <v>113</v>
      </c>
      <c r="BC34" s="55">
        <v>18</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42</v>
      </c>
      <c r="T35" s="55" t="s">
        <v>113</v>
      </c>
      <c r="U35" s="55">
        <v>92</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9</v>
      </c>
      <c r="AJ35" s="55" t="s">
        <v>113</v>
      </c>
      <c r="AK35" s="55" t="s">
        <v>113</v>
      </c>
      <c r="AL35" s="55" t="s">
        <v>113</v>
      </c>
      <c r="AM35" s="55">
        <v>22</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108</v>
      </c>
      <c r="BB35" s="55" t="s">
        <v>113</v>
      </c>
      <c r="BC35" s="55">
        <v>33</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51</v>
      </c>
      <c r="T36" s="55" t="s">
        <v>113</v>
      </c>
      <c r="U36" s="55">
        <v>82</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11</v>
      </c>
      <c r="AJ36" s="55" t="s">
        <v>113</v>
      </c>
      <c r="AK36" s="55" t="s">
        <v>113</v>
      </c>
      <c r="AL36" s="55" t="s">
        <v>113</v>
      </c>
      <c r="AM36" s="55">
        <v>20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68</v>
      </c>
      <c r="BB36" s="55" t="s">
        <v>113</v>
      </c>
      <c r="BC36" s="55">
        <v>15</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8C029-88EA-4BDD-A15E-47F4907F4DD4}">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90</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2</v>
      </c>
      <c r="T15" s="55" t="s">
        <v>113</v>
      </c>
      <c r="U15" s="55">
        <v>1</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v>
      </c>
      <c r="AJ15" s="55" t="s">
        <v>113</v>
      </c>
      <c r="AK15" s="55" t="s">
        <v>113</v>
      </c>
      <c r="AL15" s="55" t="s">
        <v>113</v>
      </c>
      <c r="AM15" s="55">
        <v>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3</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v>
      </c>
      <c r="T16" s="55" t="s">
        <v>113</v>
      </c>
      <c r="U16" s="55">
        <v>0</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v>
      </c>
      <c r="AJ16" s="55" t="s">
        <v>113</v>
      </c>
      <c r="AK16" s="55" t="s">
        <v>113</v>
      </c>
      <c r="AL16" s="55" t="s">
        <v>113</v>
      </c>
      <c r="AM16" s="55">
        <v>1</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2</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2</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0</v>
      </c>
      <c r="AJ17" s="55" t="s">
        <v>113</v>
      </c>
      <c r="AK17" s="55" t="s">
        <v>113</v>
      </c>
      <c r="AL17" s="55" t="s">
        <v>113</v>
      </c>
      <c r="AM17" s="55">
        <v>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v>
      </c>
      <c r="BB17" s="55" t="s">
        <v>113</v>
      </c>
      <c r="BC17" s="55">
        <v>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v>
      </c>
      <c r="T18" s="55" t="s">
        <v>113</v>
      </c>
      <c r="U18" s="55">
        <v>1</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0</v>
      </c>
      <c r="AJ18" s="55" t="s">
        <v>113</v>
      </c>
      <c r="AK18" s="55" t="s">
        <v>113</v>
      </c>
      <c r="AL18" s="55" t="s">
        <v>113</v>
      </c>
      <c r="AM18" s="55">
        <v>0</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4</v>
      </c>
      <c r="BB18" s="55" t="s">
        <v>113</v>
      </c>
      <c r="BC18" s="55">
        <v>1</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0</v>
      </c>
      <c r="T19" s="55" t="s">
        <v>113</v>
      </c>
      <c r="U19" s="55">
        <v>1</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0</v>
      </c>
      <c r="AJ19" s="55" t="s">
        <v>113</v>
      </c>
      <c r="AK19" s="55" t="s">
        <v>113</v>
      </c>
      <c r="AL19" s="55" t="s">
        <v>113</v>
      </c>
      <c r="AM19" s="55">
        <v>2</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2</v>
      </c>
      <c r="BB19" s="55" t="s">
        <v>113</v>
      </c>
      <c r="BC19" s="55">
        <v>1</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3</v>
      </c>
      <c r="T20" s="55" t="s">
        <v>113</v>
      </c>
      <c r="U20" s="55">
        <v>1</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1</v>
      </c>
      <c r="AJ20" s="55" t="s">
        <v>113</v>
      </c>
      <c r="AK20" s="55" t="s">
        <v>113</v>
      </c>
      <c r="AL20" s="55" t="s">
        <v>113</v>
      </c>
      <c r="AM20" s="55">
        <v>1</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2</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1</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v>
      </c>
      <c r="AJ21" s="55" t="s">
        <v>113</v>
      </c>
      <c r="AK21" s="55" t="s">
        <v>113</v>
      </c>
      <c r="AL21" s="55" t="s">
        <v>113</v>
      </c>
      <c r="AM21" s="55">
        <v>1</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2</v>
      </c>
      <c r="T22" s="55" t="s">
        <v>113</v>
      </c>
      <c r="U22" s="55">
        <v>3</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1</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5</v>
      </c>
      <c r="BB22" s="55" t="s">
        <v>113</v>
      </c>
      <c r="BC22" s="55">
        <v>3</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2</v>
      </c>
      <c r="T24" s="55" t="s">
        <v>113</v>
      </c>
      <c r="U24" s="55">
        <v>3</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1</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3</v>
      </c>
      <c r="BB24" s="55" t="s">
        <v>113</v>
      </c>
      <c r="BC24" s="55">
        <v>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2</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1</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0</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v>
      </c>
      <c r="T26" s="55" t="s">
        <v>113</v>
      </c>
      <c r="U26" s="55">
        <v>2</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1</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0</v>
      </c>
      <c r="T27" s="55" t="s">
        <v>113</v>
      </c>
      <c r="U27" s="55">
        <v>3</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0</v>
      </c>
      <c r="AJ27" s="55" t="s">
        <v>113</v>
      </c>
      <c r="AK27" s="55" t="s">
        <v>113</v>
      </c>
      <c r="AL27" s="55" t="s">
        <v>113</v>
      </c>
      <c r="AM27" s="55">
        <v>2</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1</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0</v>
      </c>
      <c r="T29" s="55" t="s">
        <v>113</v>
      </c>
      <c r="U29" s="55">
        <v>2</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0</v>
      </c>
      <c r="AJ29" s="55" t="s">
        <v>113</v>
      </c>
      <c r="AK29" s="55" t="s">
        <v>113</v>
      </c>
      <c r="AL29" s="55" t="s">
        <v>113</v>
      </c>
      <c r="AM29" s="55">
        <v>1</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v>
      </c>
      <c r="T30" s="55" t="s">
        <v>113</v>
      </c>
      <c r="U30" s="55">
        <v>2</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2</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0</v>
      </c>
      <c r="T31" s="55" t="s">
        <v>113</v>
      </c>
      <c r="U31" s="55">
        <v>0</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t="s">
        <v>113</v>
      </c>
      <c r="AL31" s="55" t="s">
        <v>113</v>
      </c>
      <c r="AM31" s="55">
        <v>2</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2</v>
      </c>
      <c r="BB31" s="55" t="s">
        <v>113</v>
      </c>
      <c r="BC31" s="55">
        <v>1</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2</v>
      </c>
      <c r="T32" s="55" t="s">
        <v>113</v>
      </c>
      <c r="U32" s="55">
        <v>2</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2</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0</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1</v>
      </c>
      <c r="T33" s="55" t="s">
        <v>113</v>
      </c>
      <c r="U33" s="55">
        <v>0</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1</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2</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0</v>
      </c>
      <c r="T34" s="55" t="s">
        <v>113</v>
      </c>
      <c r="U34" s="55">
        <v>0</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2</v>
      </c>
      <c r="AJ34" s="55" t="s">
        <v>113</v>
      </c>
      <c r="AK34" s="55" t="s">
        <v>113</v>
      </c>
      <c r="AL34" s="55" t="s">
        <v>113</v>
      </c>
      <c r="AM34" s="55">
        <v>1</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6</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1</v>
      </c>
      <c r="T35" s="55" t="s">
        <v>113</v>
      </c>
      <c r="U35" s="55">
        <v>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v>
      </c>
      <c r="AJ35" s="55" t="s">
        <v>113</v>
      </c>
      <c r="AK35" s="55" t="s">
        <v>113</v>
      </c>
      <c r="AL35" s="55" t="s">
        <v>113</v>
      </c>
      <c r="AM35" s="55">
        <v>1</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0</v>
      </c>
      <c r="BB35" s="55" t="s">
        <v>113</v>
      </c>
      <c r="BC35" s="55">
        <v>1</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1</v>
      </c>
      <c r="T36" s="55" t="s">
        <v>113</v>
      </c>
      <c r="U36" s="55">
        <v>0</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0</v>
      </c>
      <c r="AJ36" s="55" t="s">
        <v>113</v>
      </c>
      <c r="AK36" s="55" t="s">
        <v>113</v>
      </c>
      <c r="AL36" s="55" t="s">
        <v>113</v>
      </c>
      <c r="AM36" s="55">
        <v>1</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0</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79A20-C9F5-4F0B-B03B-D144FEA3EF2F}">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0</v>
      </c>
      <c r="T15" s="55" t="s">
        <v>113</v>
      </c>
      <c r="U15" s="55">
        <v>3</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v>
      </c>
      <c r="AJ15" s="55" t="s">
        <v>113</v>
      </c>
      <c r="AK15" s="55" t="s">
        <v>113</v>
      </c>
      <c r="AL15" s="55" t="s">
        <v>113</v>
      </c>
      <c r="AM15" s="55">
        <v>1</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4</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v>
      </c>
      <c r="T16" s="55" t="s">
        <v>113</v>
      </c>
      <c r="U16" s="55">
        <v>2</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0</v>
      </c>
      <c r="AJ16" s="55" t="s">
        <v>113</v>
      </c>
      <c r="AK16" s="55" t="s">
        <v>113</v>
      </c>
      <c r="AL16" s="55" t="s">
        <v>113</v>
      </c>
      <c r="AM16" s="55">
        <v>4</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1</v>
      </c>
      <c r="BB16" s="55" t="s">
        <v>113</v>
      </c>
      <c r="BC16" s="55">
        <v>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0</v>
      </c>
      <c r="T17" s="55" t="s">
        <v>113</v>
      </c>
      <c r="U17" s="55">
        <v>1</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1</v>
      </c>
      <c r="AJ17" s="55" t="s">
        <v>113</v>
      </c>
      <c r="AK17" s="55" t="s">
        <v>113</v>
      </c>
      <c r="AL17" s="55" t="s">
        <v>113</v>
      </c>
      <c r="AM17" s="55">
        <v>6</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6</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0</v>
      </c>
      <c r="T18" s="55" t="s">
        <v>113</v>
      </c>
      <c r="U18" s="55">
        <v>1</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1</v>
      </c>
      <c r="AJ18" s="55" t="s">
        <v>113</v>
      </c>
      <c r="AK18" s="55" t="s">
        <v>113</v>
      </c>
      <c r="AL18" s="55" t="s">
        <v>113</v>
      </c>
      <c r="AM18" s="55">
        <v>6</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2</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1</v>
      </c>
      <c r="T19" s="55" t="s">
        <v>113</v>
      </c>
      <c r="U19" s="55">
        <v>2</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1</v>
      </c>
      <c r="AJ19" s="55" t="s">
        <v>113</v>
      </c>
      <c r="AK19" s="55" t="s">
        <v>113</v>
      </c>
      <c r="AL19" s="55" t="s">
        <v>113</v>
      </c>
      <c r="AM19" s="55">
        <v>9</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8</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0</v>
      </c>
      <c r="T20" s="55" t="s">
        <v>113</v>
      </c>
      <c r="U20" s="55">
        <v>2</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0</v>
      </c>
      <c r="AJ20" s="55" t="s">
        <v>113</v>
      </c>
      <c r="AK20" s="55" t="s">
        <v>113</v>
      </c>
      <c r="AL20" s="55" t="s">
        <v>113</v>
      </c>
      <c r="AM20" s="55">
        <v>10</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3</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0</v>
      </c>
      <c r="T21" s="55" t="s">
        <v>113</v>
      </c>
      <c r="U21" s="55">
        <v>15</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1</v>
      </c>
      <c r="AJ21" s="55" t="s">
        <v>113</v>
      </c>
      <c r="AK21" s="55" t="s">
        <v>113</v>
      </c>
      <c r="AL21" s="55" t="s">
        <v>113</v>
      </c>
      <c r="AM21" s="55">
        <v>7</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9</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2</v>
      </c>
      <c r="T22" s="55" t="s">
        <v>113</v>
      </c>
      <c r="U22" s="55">
        <v>3</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0</v>
      </c>
      <c r="AJ22" s="55" t="s">
        <v>113</v>
      </c>
      <c r="AK22" s="55" t="s">
        <v>113</v>
      </c>
      <c r="AL22" s="55" t="s">
        <v>113</v>
      </c>
      <c r="AM22" s="55">
        <v>1</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6</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1</v>
      </c>
      <c r="T24" s="55" t="s">
        <v>113</v>
      </c>
      <c r="U24" s="55">
        <v>3</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0</v>
      </c>
      <c r="AJ24" s="55" t="s">
        <v>113</v>
      </c>
      <c r="AK24" s="55" t="s">
        <v>113</v>
      </c>
      <c r="AL24" s="55" t="s">
        <v>113</v>
      </c>
      <c r="AM24" s="55">
        <v>0</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2</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0</v>
      </c>
      <c r="T25" s="55" t="s">
        <v>113</v>
      </c>
      <c r="U25" s="55">
        <v>2</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0</v>
      </c>
      <c r="AJ25" s="55" t="s">
        <v>113</v>
      </c>
      <c r="AK25" s="55" t="s">
        <v>113</v>
      </c>
      <c r="AL25" s="55" t="s">
        <v>113</v>
      </c>
      <c r="AM25" s="55">
        <v>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2</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1</v>
      </c>
      <c r="T26" s="55" t="s">
        <v>113</v>
      </c>
      <c r="U26" s="55">
        <v>1</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0</v>
      </c>
      <c r="AJ26" s="55" t="s">
        <v>113</v>
      </c>
      <c r="AK26" s="55" t="s">
        <v>113</v>
      </c>
      <c r="AL26" s="55" t="s">
        <v>113</v>
      </c>
      <c r="AM26" s="55">
        <v>0</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2</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1</v>
      </c>
      <c r="T27" s="55" t="s">
        <v>113</v>
      </c>
      <c r="U27" s="55">
        <v>1</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1</v>
      </c>
      <c r="AJ27" s="55" t="s">
        <v>113</v>
      </c>
      <c r="AK27" s="55" t="s">
        <v>113</v>
      </c>
      <c r="AL27" s="55" t="s">
        <v>113</v>
      </c>
      <c r="AM27" s="55">
        <v>1</v>
      </c>
      <c r="AN27" s="55" t="s">
        <v>113</v>
      </c>
      <c r="AO27" s="55">
        <v>0</v>
      </c>
      <c r="AP27" s="55" t="s">
        <v>113</v>
      </c>
      <c r="AQ27" s="55" t="s">
        <v>113</v>
      </c>
      <c r="AR27" s="55" t="s">
        <v>113</v>
      </c>
      <c r="AS27" s="55" t="s">
        <v>113</v>
      </c>
      <c r="AT27" s="55" t="s">
        <v>113</v>
      </c>
      <c r="AU27" s="55" t="s">
        <v>113</v>
      </c>
      <c r="AV27" s="55" t="s">
        <v>113</v>
      </c>
      <c r="AW27" s="55" t="s">
        <v>113</v>
      </c>
      <c r="AX27" s="55" t="s">
        <v>113</v>
      </c>
      <c r="AY27" s="55" t="s">
        <v>113</v>
      </c>
      <c r="AZ27" s="55" t="s">
        <v>113</v>
      </c>
      <c r="BA27" s="55">
        <v>2</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1</v>
      </c>
      <c r="T29" s="55" t="s">
        <v>113</v>
      </c>
      <c r="U29" s="55">
        <v>1</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1</v>
      </c>
      <c r="AJ29" s="55" t="s">
        <v>113</v>
      </c>
      <c r="AK29" s="55" t="s">
        <v>113</v>
      </c>
      <c r="AL29" s="55" t="s">
        <v>113</v>
      </c>
      <c r="AM29" s="55">
        <v>0</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3</v>
      </c>
      <c r="BB29" s="55" t="s">
        <v>113</v>
      </c>
      <c r="BC29" s="55">
        <v>2</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1</v>
      </c>
      <c r="T30" s="55" t="s">
        <v>113</v>
      </c>
      <c r="U30" s="55">
        <v>2</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0</v>
      </c>
      <c r="AJ30" s="55" t="s">
        <v>113</v>
      </c>
      <c r="AK30" s="55" t="s">
        <v>113</v>
      </c>
      <c r="AL30" s="55" t="s">
        <v>113</v>
      </c>
      <c r="AM30" s="55">
        <v>0</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4</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3</v>
      </c>
      <c r="T31" s="55" t="s">
        <v>113</v>
      </c>
      <c r="U31" s="55">
        <v>4</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0</v>
      </c>
      <c r="AJ31" s="55" t="s">
        <v>113</v>
      </c>
      <c r="AK31" s="55" t="s">
        <v>113</v>
      </c>
      <c r="AL31" s="55" t="s">
        <v>113</v>
      </c>
      <c r="AM31" s="55">
        <v>0</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1</v>
      </c>
      <c r="T32" s="55" t="s">
        <v>113</v>
      </c>
      <c r="U32" s="55">
        <v>5</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v>
      </c>
      <c r="AJ32" s="55" t="s">
        <v>113</v>
      </c>
      <c r="AK32" s="55" t="s">
        <v>113</v>
      </c>
      <c r="AL32" s="55" t="s">
        <v>113</v>
      </c>
      <c r="AM32" s="55">
        <v>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8</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5</v>
      </c>
      <c r="T33" s="55" t="s">
        <v>113</v>
      </c>
      <c r="U33" s="55">
        <v>5</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0</v>
      </c>
      <c r="AJ33" s="55" t="s">
        <v>113</v>
      </c>
      <c r="AK33" s="55" t="s">
        <v>113</v>
      </c>
      <c r="AL33" s="55" t="s">
        <v>113</v>
      </c>
      <c r="AM33" s="55">
        <v>2</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4</v>
      </c>
      <c r="T34" s="55" t="s">
        <v>113</v>
      </c>
      <c r="U34" s="55">
        <v>5</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0</v>
      </c>
      <c r="AJ34" s="55" t="s">
        <v>113</v>
      </c>
      <c r="AK34" s="55" t="s">
        <v>113</v>
      </c>
      <c r="AL34" s="55" t="s">
        <v>113</v>
      </c>
      <c r="AM34" s="55">
        <v>0</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4</v>
      </c>
      <c r="BB34" s="55" t="s">
        <v>113</v>
      </c>
      <c r="BC34" s="55">
        <v>1</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4</v>
      </c>
      <c r="T35" s="55" t="s">
        <v>113</v>
      </c>
      <c r="U35" s="55">
        <v>10</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0</v>
      </c>
      <c r="AJ35" s="55" t="s">
        <v>113</v>
      </c>
      <c r="AK35" s="55" t="s">
        <v>113</v>
      </c>
      <c r="AL35" s="55" t="s">
        <v>113</v>
      </c>
      <c r="AM35" s="55">
        <v>0</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9</v>
      </c>
      <c r="BB35" s="55" t="s">
        <v>113</v>
      </c>
      <c r="BC35" s="55">
        <v>1</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5</v>
      </c>
      <c r="T36" s="55" t="s">
        <v>113</v>
      </c>
      <c r="U36" s="55">
        <v>5</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1</v>
      </c>
      <c r="AJ36" s="55" t="s">
        <v>113</v>
      </c>
      <c r="AK36" s="55" t="s">
        <v>113</v>
      </c>
      <c r="AL36" s="55" t="s">
        <v>113</v>
      </c>
      <c r="AM36" s="55">
        <v>0</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6</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E553A-F82E-4E66-A06D-6DBE6625E8B7}">
  <dimension ref="A1:BM37"/>
  <sheetViews>
    <sheetView workbookViewId="0">
      <selection sqref="A1:B1"/>
    </sheetView>
  </sheetViews>
  <sheetFormatPr defaultColWidth="12.140625" defaultRowHeight="15" customHeight="1" x14ac:dyDescent="0.2"/>
  <cols>
    <col min="1" max="1" width="12.140625" style="55"/>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153</v>
      </c>
      <c r="K12" s="61"/>
      <c r="L12" s="61"/>
      <c r="M12" s="61"/>
      <c r="N12" s="61"/>
      <c r="O12" s="61"/>
      <c r="P12" s="61"/>
      <c r="Q12" s="60"/>
      <c r="R12" s="62" t="s">
        <v>156</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t="s">
        <v>113</v>
      </c>
      <c r="L15" s="55" t="s">
        <v>113</v>
      </c>
      <c r="M15" s="55" t="s">
        <v>113</v>
      </c>
      <c r="N15" s="55" t="s">
        <v>113</v>
      </c>
      <c r="O15" s="55" t="s">
        <v>113</v>
      </c>
      <c r="P15" s="55" t="s">
        <v>113</v>
      </c>
      <c r="Q15" s="55" t="s">
        <v>113</v>
      </c>
      <c r="R15" s="55" t="s">
        <v>113</v>
      </c>
      <c r="S15" s="55">
        <v>4</v>
      </c>
      <c r="T15" s="55" t="s">
        <v>113</v>
      </c>
      <c r="U15" s="55">
        <v>33</v>
      </c>
      <c r="V15" s="55" t="s">
        <v>113</v>
      </c>
      <c r="W15" s="55" t="s">
        <v>113</v>
      </c>
      <c r="X15" s="55" t="s">
        <v>113</v>
      </c>
      <c r="Y15" s="55">
        <v>0</v>
      </c>
      <c r="Z15" s="55" t="s">
        <v>113</v>
      </c>
      <c r="AA15" s="55" t="s">
        <v>113</v>
      </c>
      <c r="AB15" s="55" t="s">
        <v>113</v>
      </c>
      <c r="AC15" s="55" t="s">
        <v>113</v>
      </c>
      <c r="AD15" s="55" t="s">
        <v>113</v>
      </c>
      <c r="AE15" s="55" t="s">
        <v>113</v>
      </c>
      <c r="AF15" s="55" t="s">
        <v>113</v>
      </c>
      <c r="AG15" s="55" t="s">
        <v>113</v>
      </c>
      <c r="AH15" s="55" t="s">
        <v>113</v>
      </c>
      <c r="AI15" s="55">
        <v>16</v>
      </c>
      <c r="AJ15" s="55" t="s">
        <v>113</v>
      </c>
      <c r="AK15" s="55" t="s">
        <v>113</v>
      </c>
      <c r="AL15" s="55" t="s">
        <v>113</v>
      </c>
      <c r="AM15" s="55">
        <v>40</v>
      </c>
      <c r="AN15" s="55" t="s">
        <v>113</v>
      </c>
      <c r="AO15" s="55">
        <v>0</v>
      </c>
      <c r="AP15" s="55" t="s">
        <v>113</v>
      </c>
      <c r="AQ15" s="55" t="s">
        <v>113</v>
      </c>
      <c r="AR15" s="55" t="s">
        <v>113</v>
      </c>
      <c r="AS15" s="55" t="s">
        <v>113</v>
      </c>
      <c r="AT15" s="55" t="s">
        <v>113</v>
      </c>
      <c r="AU15" s="55" t="s">
        <v>113</v>
      </c>
      <c r="AV15" s="55" t="s">
        <v>113</v>
      </c>
      <c r="AW15" s="55" t="s">
        <v>113</v>
      </c>
      <c r="AX15" s="55" t="s">
        <v>113</v>
      </c>
      <c r="AY15" s="55" t="s">
        <v>113</v>
      </c>
      <c r="AZ15" s="55" t="s">
        <v>113</v>
      </c>
      <c r="BA15" s="55">
        <v>65</v>
      </c>
      <c r="BB15" s="55" t="s">
        <v>113</v>
      </c>
      <c r="BC15" s="55">
        <v>5</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t="s">
        <v>113</v>
      </c>
      <c r="L16" s="55" t="s">
        <v>113</v>
      </c>
      <c r="M16" s="55" t="s">
        <v>113</v>
      </c>
      <c r="N16" s="55" t="s">
        <v>113</v>
      </c>
      <c r="O16" s="55" t="s">
        <v>113</v>
      </c>
      <c r="P16" s="55" t="s">
        <v>113</v>
      </c>
      <c r="Q16" s="55" t="s">
        <v>113</v>
      </c>
      <c r="R16" s="55" t="s">
        <v>113</v>
      </c>
      <c r="S16" s="55">
        <v>13</v>
      </c>
      <c r="T16" s="55" t="s">
        <v>113</v>
      </c>
      <c r="U16" s="55">
        <v>48</v>
      </c>
      <c r="V16" s="55" t="s">
        <v>113</v>
      </c>
      <c r="W16" s="55" t="s">
        <v>113</v>
      </c>
      <c r="X16" s="55" t="s">
        <v>113</v>
      </c>
      <c r="Y16" s="55">
        <v>0</v>
      </c>
      <c r="Z16" s="55" t="s">
        <v>113</v>
      </c>
      <c r="AA16" s="55" t="s">
        <v>113</v>
      </c>
      <c r="AB16" s="55" t="s">
        <v>113</v>
      </c>
      <c r="AC16" s="55" t="s">
        <v>113</v>
      </c>
      <c r="AD16" s="55" t="s">
        <v>113</v>
      </c>
      <c r="AE16" s="55" t="s">
        <v>113</v>
      </c>
      <c r="AF16" s="55" t="s">
        <v>113</v>
      </c>
      <c r="AG16" s="55" t="s">
        <v>113</v>
      </c>
      <c r="AH16" s="55" t="s">
        <v>113</v>
      </c>
      <c r="AI16" s="55">
        <v>17</v>
      </c>
      <c r="AJ16" s="55" t="s">
        <v>113</v>
      </c>
      <c r="AK16" s="55" t="s">
        <v>113</v>
      </c>
      <c r="AL16" s="55" t="s">
        <v>113</v>
      </c>
      <c r="AM16" s="55">
        <v>60</v>
      </c>
      <c r="AN16" s="55" t="s">
        <v>113</v>
      </c>
      <c r="AO16" s="55">
        <v>0</v>
      </c>
      <c r="AP16" s="55" t="s">
        <v>113</v>
      </c>
      <c r="AQ16" s="55" t="s">
        <v>113</v>
      </c>
      <c r="AR16" s="55" t="s">
        <v>113</v>
      </c>
      <c r="AS16" s="55" t="s">
        <v>113</v>
      </c>
      <c r="AT16" s="55" t="s">
        <v>113</v>
      </c>
      <c r="AU16" s="55" t="s">
        <v>113</v>
      </c>
      <c r="AV16" s="55" t="s">
        <v>113</v>
      </c>
      <c r="AW16" s="55" t="s">
        <v>113</v>
      </c>
      <c r="AX16" s="55" t="s">
        <v>113</v>
      </c>
      <c r="AY16" s="55" t="s">
        <v>113</v>
      </c>
      <c r="AZ16" s="55" t="s">
        <v>113</v>
      </c>
      <c r="BA16" s="55">
        <v>67</v>
      </c>
      <c r="BB16" s="55" t="s">
        <v>113</v>
      </c>
      <c r="BC16" s="55">
        <v>12</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t="s">
        <v>113</v>
      </c>
      <c r="L17" s="55" t="s">
        <v>113</v>
      </c>
      <c r="M17" s="55" t="s">
        <v>113</v>
      </c>
      <c r="N17" s="55" t="s">
        <v>113</v>
      </c>
      <c r="O17" s="55" t="s">
        <v>113</v>
      </c>
      <c r="P17" s="55" t="s">
        <v>113</v>
      </c>
      <c r="Q17" s="55" t="s">
        <v>113</v>
      </c>
      <c r="R17" s="55" t="s">
        <v>113</v>
      </c>
      <c r="S17" s="55">
        <v>10</v>
      </c>
      <c r="T17" s="55" t="s">
        <v>113</v>
      </c>
      <c r="U17" s="55">
        <v>67</v>
      </c>
      <c r="V17" s="55" t="s">
        <v>113</v>
      </c>
      <c r="W17" s="55" t="s">
        <v>113</v>
      </c>
      <c r="X17" s="55" t="s">
        <v>113</v>
      </c>
      <c r="Y17" s="55">
        <v>0</v>
      </c>
      <c r="Z17" s="55" t="s">
        <v>113</v>
      </c>
      <c r="AA17" s="55" t="s">
        <v>113</v>
      </c>
      <c r="AB17" s="55" t="s">
        <v>113</v>
      </c>
      <c r="AC17" s="55" t="s">
        <v>113</v>
      </c>
      <c r="AD17" s="55" t="s">
        <v>113</v>
      </c>
      <c r="AE17" s="55" t="s">
        <v>113</v>
      </c>
      <c r="AF17" s="55" t="s">
        <v>113</v>
      </c>
      <c r="AG17" s="55" t="s">
        <v>113</v>
      </c>
      <c r="AH17" s="55" t="s">
        <v>113</v>
      </c>
      <c r="AI17" s="55">
        <v>22</v>
      </c>
      <c r="AJ17" s="55" t="s">
        <v>113</v>
      </c>
      <c r="AK17" s="55" t="s">
        <v>113</v>
      </c>
      <c r="AL17" s="55" t="s">
        <v>113</v>
      </c>
      <c r="AM17" s="55">
        <v>71</v>
      </c>
      <c r="AN17" s="55" t="s">
        <v>113</v>
      </c>
      <c r="AO17" s="55">
        <v>0</v>
      </c>
      <c r="AP17" s="55" t="s">
        <v>113</v>
      </c>
      <c r="AQ17" s="55" t="s">
        <v>113</v>
      </c>
      <c r="AR17" s="55" t="s">
        <v>113</v>
      </c>
      <c r="AS17" s="55" t="s">
        <v>113</v>
      </c>
      <c r="AT17" s="55" t="s">
        <v>113</v>
      </c>
      <c r="AU17" s="55" t="s">
        <v>113</v>
      </c>
      <c r="AV17" s="55" t="s">
        <v>113</v>
      </c>
      <c r="AW17" s="55" t="s">
        <v>113</v>
      </c>
      <c r="AX17" s="55" t="s">
        <v>113</v>
      </c>
      <c r="AY17" s="55" t="s">
        <v>113</v>
      </c>
      <c r="AZ17" s="55" t="s">
        <v>113</v>
      </c>
      <c r="BA17" s="55">
        <v>114</v>
      </c>
      <c r="BB17" s="55" t="s">
        <v>113</v>
      </c>
      <c r="BC17" s="55">
        <v>10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t="s">
        <v>113</v>
      </c>
      <c r="L18" s="55" t="s">
        <v>113</v>
      </c>
      <c r="M18" s="55" t="s">
        <v>113</v>
      </c>
      <c r="N18" s="55" t="s">
        <v>113</v>
      </c>
      <c r="O18" s="55" t="s">
        <v>113</v>
      </c>
      <c r="P18" s="55" t="s">
        <v>113</v>
      </c>
      <c r="Q18" s="55" t="s">
        <v>113</v>
      </c>
      <c r="R18" s="55" t="s">
        <v>113</v>
      </c>
      <c r="S18" s="55">
        <v>10</v>
      </c>
      <c r="T18" s="55" t="s">
        <v>113</v>
      </c>
      <c r="U18" s="55">
        <v>66</v>
      </c>
      <c r="V18" s="55" t="s">
        <v>113</v>
      </c>
      <c r="W18" s="55" t="s">
        <v>113</v>
      </c>
      <c r="X18" s="55" t="s">
        <v>113</v>
      </c>
      <c r="Y18" s="55">
        <v>0</v>
      </c>
      <c r="Z18" s="55" t="s">
        <v>113</v>
      </c>
      <c r="AA18" s="55" t="s">
        <v>113</v>
      </c>
      <c r="AB18" s="55" t="s">
        <v>113</v>
      </c>
      <c r="AC18" s="55" t="s">
        <v>113</v>
      </c>
      <c r="AD18" s="55" t="s">
        <v>113</v>
      </c>
      <c r="AE18" s="55" t="s">
        <v>113</v>
      </c>
      <c r="AF18" s="55" t="s">
        <v>113</v>
      </c>
      <c r="AG18" s="55" t="s">
        <v>113</v>
      </c>
      <c r="AH18" s="55" t="s">
        <v>113</v>
      </c>
      <c r="AI18" s="55">
        <v>20</v>
      </c>
      <c r="AJ18" s="55" t="s">
        <v>113</v>
      </c>
      <c r="AK18" s="55" t="s">
        <v>113</v>
      </c>
      <c r="AL18" s="55" t="s">
        <v>113</v>
      </c>
      <c r="AM18" s="55">
        <v>71</v>
      </c>
      <c r="AN18" s="55" t="s">
        <v>113</v>
      </c>
      <c r="AO18" s="55">
        <v>0</v>
      </c>
      <c r="AP18" s="55" t="s">
        <v>113</v>
      </c>
      <c r="AQ18" s="55" t="s">
        <v>113</v>
      </c>
      <c r="AR18" s="55" t="s">
        <v>113</v>
      </c>
      <c r="AS18" s="55" t="s">
        <v>113</v>
      </c>
      <c r="AT18" s="55" t="s">
        <v>113</v>
      </c>
      <c r="AU18" s="55" t="s">
        <v>113</v>
      </c>
      <c r="AV18" s="55" t="s">
        <v>113</v>
      </c>
      <c r="AW18" s="55" t="s">
        <v>113</v>
      </c>
      <c r="AX18" s="55" t="s">
        <v>113</v>
      </c>
      <c r="AY18" s="55" t="s">
        <v>113</v>
      </c>
      <c r="AZ18" s="55" t="s">
        <v>113</v>
      </c>
      <c r="BA18" s="55">
        <v>116</v>
      </c>
      <c r="BB18" s="55" t="s">
        <v>113</v>
      </c>
      <c r="BC18" s="55">
        <v>6</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t="s">
        <v>113</v>
      </c>
      <c r="L19" s="55" t="s">
        <v>113</v>
      </c>
      <c r="M19" s="55" t="s">
        <v>113</v>
      </c>
      <c r="N19" s="55" t="s">
        <v>113</v>
      </c>
      <c r="O19" s="55" t="s">
        <v>113</v>
      </c>
      <c r="P19" s="55" t="s">
        <v>113</v>
      </c>
      <c r="Q19" s="55" t="s">
        <v>113</v>
      </c>
      <c r="R19" s="55" t="s">
        <v>113</v>
      </c>
      <c r="S19" s="55">
        <v>20</v>
      </c>
      <c r="T19" s="55" t="s">
        <v>113</v>
      </c>
      <c r="U19" s="55">
        <v>73</v>
      </c>
      <c r="V19" s="55" t="s">
        <v>113</v>
      </c>
      <c r="W19" s="55" t="s">
        <v>113</v>
      </c>
      <c r="X19" s="55" t="s">
        <v>113</v>
      </c>
      <c r="Y19" s="55">
        <v>0</v>
      </c>
      <c r="Z19" s="55" t="s">
        <v>113</v>
      </c>
      <c r="AA19" s="55" t="s">
        <v>113</v>
      </c>
      <c r="AB19" s="55" t="s">
        <v>113</v>
      </c>
      <c r="AC19" s="55" t="s">
        <v>113</v>
      </c>
      <c r="AD19" s="55" t="s">
        <v>113</v>
      </c>
      <c r="AE19" s="55" t="s">
        <v>113</v>
      </c>
      <c r="AF19" s="55" t="s">
        <v>113</v>
      </c>
      <c r="AG19" s="55" t="s">
        <v>113</v>
      </c>
      <c r="AH19" s="55" t="s">
        <v>113</v>
      </c>
      <c r="AI19" s="55">
        <v>16</v>
      </c>
      <c r="AJ19" s="55" t="s">
        <v>113</v>
      </c>
      <c r="AK19" s="55" t="s">
        <v>113</v>
      </c>
      <c r="AL19" s="55" t="s">
        <v>113</v>
      </c>
      <c r="AM19" s="55">
        <v>73</v>
      </c>
      <c r="AN19" s="55" t="s">
        <v>113</v>
      </c>
      <c r="AO19" s="55">
        <v>0</v>
      </c>
      <c r="AP19" s="55" t="s">
        <v>113</v>
      </c>
      <c r="AQ19" s="55" t="s">
        <v>113</v>
      </c>
      <c r="AR19" s="55" t="s">
        <v>113</v>
      </c>
      <c r="AS19" s="55" t="s">
        <v>113</v>
      </c>
      <c r="AT19" s="55" t="s">
        <v>113</v>
      </c>
      <c r="AU19" s="55" t="s">
        <v>113</v>
      </c>
      <c r="AV19" s="55" t="s">
        <v>113</v>
      </c>
      <c r="AW19" s="55" t="s">
        <v>113</v>
      </c>
      <c r="AX19" s="55" t="s">
        <v>113</v>
      </c>
      <c r="AY19" s="55" t="s">
        <v>113</v>
      </c>
      <c r="AZ19" s="55" t="s">
        <v>113</v>
      </c>
      <c r="BA19" s="55">
        <v>136</v>
      </c>
      <c r="BB19" s="55" t="s">
        <v>113</v>
      </c>
      <c r="BC19" s="55">
        <v>7</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t="s">
        <v>113</v>
      </c>
      <c r="L20" s="55" t="s">
        <v>113</v>
      </c>
      <c r="M20" s="55" t="s">
        <v>113</v>
      </c>
      <c r="N20" s="55" t="s">
        <v>113</v>
      </c>
      <c r="O20" s="55" t="s">
        <v>113</v>
      </c>
      <c r="P20" s="55" t="s">
        <v>113</v>
      </c>
      <c r="Q20" s="55" t="s">
        <v>113</v>
      </c>
      <c r="R20" s="55" t="s">
        <v>113</v>
      </c>
      <c r="S20" s="55">
        <v>16</v>
      </c>
      <c r="T20" s="55" t="s">
        <v>113</v>
      </c>
      <c r="U20" s="55">
        <v>90</v>
      </c>
      <c r="V20" s="55" t="s">
        <v>113</v>
      </c>
      <c r="W20" s="55" t="s">
        <v>113</v>
      </c>
      <c r="X20" s="55" t="s">
        <v>113</v>
      </c>
      <c r="Y20" s="55">
        <v>0</v>
      </c>
      <c r="Z20" s="55" t="s">
        <v>113</v>
      </c>
      <c r="AA20" s="55" t="s">
        <v>113</v>
      </c>
      <c r="AB20" s="55" t="s">
        <v>113</v>
      </c>
      <c r="AC20" s="55" t="s">
        <v>113</v>
      </c>
      <c r="AD20" s="55" t="s">
        <v>113</v>
      </c>
      <c r="AE20" s="55" t="s">
        <v>113</v>
      </c>
      <c r="AF20" s="55" t="s">
        <v>113</v>
      </c>
      <c r="AG20" s="55" t="s">
        <v>113</v>
      </c>
      <c r="AH20" s="55" t="s">
        <v>113</v>
      </c>
      <c r="AI20" s="55">
        <v>37</v>
      </c>
      <c r="AJ20" s="55" t="s">
        <v>113</v>
      </c>
      <c r="AK20" s="55" t="s">
        <v>113</v>
      </c>
      <c r="AL20" s="55" t="s">
        <v>113</v>
      </c>
      <c r="AM20" s="55">
        <v>98</v>
      </c>
      <c r="AN20" s="55" t="s">
        <v>113</v>
      </c>
      <c r="AO20" s="55">
        <v>0</v>
      </c>
      <c r="AP20" s="55" t="s">
        <v>113</v>
      </c>
      <c r="AQ20" s="55" t="s">
        <v>113</v>
      </c>
      <c r="AR20" s="55" t="s">
        <v>113</v>
      </c>
      <c r="AS20" s="55" t="s">
        <v>113</v>
      </c>
      <c r="AT20" s="55" t="s">
        <v>113</v>
      </c>
      <c r="AU20" s="55" t="s">
        <v>113</v>
      </c>
      <c r="AV20" s="55" t="s">
        <v>113</v>
      </c>
      <c r="AW20" s="55" t="s">
        <v>113</v>
      </c>
      <c r="AX20" s="55" t="s">
        <v>113</v>
      </c>
      <c r="AY20" s="55" t="s">
        <v>113</v>
      </c>
      <c r="AZ20" s="55" t="s">
        <v>113</v>
      </c>
      <c r="BA20" s="55">
        <v>140</v>
      </c>
      <c r="BB20" s="55" t="s">
        <v>113</v>
      </c>
      <c r="BC20" s="55">
        <v>8</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t="s">
        <v>113</v>
      </c>
      <c r="L21" s="55" t="s">
        <v>113</v>
      </c>
      <c r="M21" s="55" t="s">
        <v>113</v>
      </c>
      <c r="N21" s="55" t="s">
        <v>113</v>
      </c>
      <c r="O21" s="55" t="s">
        <v>113</v>
      </c>
      <c r="P21" s="55" t="s">
        <v>113</v>
      </c>
      <c r="Q21" s="55" t="s">
        <v>113</v>
      </c>
      <c r="R21" s="55" t="s">
        <v>113</v>
      </c>
      <c r="S21" s="55">
        <v>22</v>
      </c>
      <c r="T21" s="55" t="s">
        <v>113</v>
      </c>
      <c r="U21" s="55">
        <v>89</v>
      </c>
      <c r="V21" s="55" t="s">
        <v>113</v>
      </c>
      <c r="W21" s="55" t="s">
        <v>113</v>
      </c>
      <c r="X21" s="55" t="s">
        <v>113</v>
      </c>
      <c r="Y21" s="55">
        <v>0</v>
      </c>
      <c r="Z21" s="55" t="s">
        <v>113</v>
      </c>
      <c r="AA21" s="55" t="s">
        <v>113</v>
      </c>
      <c r="AB21" s="55" t="s">
        <v>113</v>
      </c>
      <c r="AC21" s="55" t="s">
        <v>113</v>
      </c>
      <c r="AD21" s="55" t="s">
        <v>113</v>
      </c>
      <c r="AE21" s="55" t="s">
        <v>113</v>
      </c>
      <c r="AF21" s="55" t="s">
        <v>113</v>
      </c>
      <c r="AG21" s="55" t="s">
        <v>113</v>
      </c>
      <c r="AH21" s="55" t="s">
        <v>113</v>
      </c>
      <c r="AI21" s="55">
        <v>20</v>
      </c>
      <c r="AJ21" s="55" t="s">
        <v>113</v>
      </c>
      <c r="AK21" s="55" t="s">
        <v>113</v>
      </c>
      <c r="AL21" s="55" t="s">
        <v>113</v>
      </c>
      <c r="AM21" s="55">
        <v>76</v>
      </c>
      <c r="AN21" s="55" t="s">
        <v>113</v>
      </c>
      <c r="AO21" s="55">
        <v>0</v>
      </c>
      <c r="AP21" s="55" t="s">
        <v>113</v>
      </c>
      <c r="AQ21" s="55" t="s">
        <v>113</v>
      </c>
      <c r="AR21" s="55" t="s">
        <v>113</v>
      </c>
      <c r="AS21" s="55" t="s">
        <v>113</v>
      </c>
      <c r="AT21" s="55" t="s">
        <v>113</v>
      </c>
      <c r="AU21" s="55" t="s">
        <v>113</v>
      </c>
      <c r="AV21" s="55" t="s">
        <v>113</v>
      </c>
      <c r="AW21" s="55" t="s">
        <v>113</v>
      </c>
      <c r="AX21" s="55" t="s">
        <v>113</v>
      </c>
      <c r="AY21" s="55" t="s">
        <v>113</v>
      </c>
      <c r="AZ21" s="55" t="s">
        <v>113</v>
      </c>
      <c r="BA21" s="55">
        <v>147</v>
      </c>
      <c r="BB21" s="55" t="s">
        <v>113</v>
      </c>
      <c r="BC21" s="55">
        <v>4</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t="s">
        <v>113</v>
      </c>
      <c r="L22" s="55" t="s">
        <v>113</v>
      </c>
      <c r="M22" s="55" t="s">
        <v>113</v>
      </c>
      <c r="N22" s="55" t="s">
        <v>113</v>
      </c>
      <c r="O22" s="55" t="s">
        <v>113</v>
      </c>
      <c r="P22" s="55" t="s">
        <v>113</v>
      </c>
      <c r="Q22" s="55" t="s">
        <v>113</v>
      </c>
      <c r="R22" s="55" t="s">
        <v>113</v>
      </c>
      <c r="S22" s="55">
        <v>26</v>
      </c>
      <c r="T22" s="55" t="s">
        <v>113</v>
      </c>
      <c r="U22" s="55">
        <v>82</v>
      </c>
      <c r="V22" s="55" t="s">
        <v>113</v>
      </c>
      <c r="W22" s="55" t="s">
        <v>113</v>
      </c>
      <c r="X22" s="55" t="s">
        <v>113</v>
      </c>
      <c r="Y22" s="55">
        <v>0</v>
      </c>
      <c r="Z22" s="55" t="s">
        <v>113</v>
      </c>
      <c r="AA22" s="55" t="s">
        <v>113</v>
      </c>
      <c r="AB22" s="55" t="s">
        <v>113</v>
      </c>
      <c r="AC22" s="55" t="s">
        <v>113</v>
      </c>
      <c r="AD22" s="55" t="s">
        <v>113</v>
      </c>
      <c r="AE22" s="55" t="s">
        <v>113</v>
      </c>
      <c r="AF22" s="55" t="s">
        <v>113</v>
      </c>
      <c r="AG22" s="55" t="s">
        <v>113</v>
      </c>
      <c r="AH22" s="55" t="s">
        <v>113</v>
      </c>
      <c r="AI22" s="55">
        <v>11</v>
      </c>
      <c r="AJ22" s="55" t="s">
        <v>113</v>
      </c>
      <c r="AK22" s="55" t="s">
        <v>113</v>
      </c>
      <c r="AL22" s="55" t="s">
        <v>113</v>
      </c>
      <c r="AM22" s="55">
        <v>53</v>
      </c>
      <c r="AN22" s="55" t="s">
        <v>113</v>
      </c>
      <c r="AO22" s="55">
        <v>0</v>
      </c>
      <c r="AP22" s="55" t="s">
        <v>113</v>
      </c>
      <c r="AQ22" s="55" t="s">
        <v>113</v>
      </c>
      <c r="AR22" s="55" t="s">
        <v>113</v>
      </c>
      <c r="AS22" s="55" t="s">
        <v>113</v>
      </c>
      <c r="AT22" s="55" t="s">
        <v>113</v>
      </c>
      <c r="AU22" s="55" t="s">
        <v>113</v>
      </c>
      <c r="AV22" s="55" t="s">
        <v>113</v>
      </c>
      <c r="AW22" s="55" t="s">
        <v>113</v>
      </c>
      <c r="AX22" s="55" t="s">
        <v>113</v>
      </c>
      <c r="AY22" s="55" t="s">
        <v>113</v>
      </c>
      <c r="AZ22" s="55" t="s">
        <v>113</v>
      </c>
      <c r="BA22" s="55">
        <v>115</v>
      </c>
      <c r="BB22" s="55" t="s">
        <v>113</v>
      </c>
      <c r="BC22" s="55">
        <v>12</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t="s">
        <v>113</v>
      </c>
      <c r="L23" s="55" t="s">
        <v>113</v>
      </c>
      <c r="M23" s="55" t="s">
        <v>113</v>
      </c>
      <c r="N23" s="55" t="s">
        <v>113</v>
      </c>
      <c r="O23" s="55" t="s">
        <v>113</v>
      </c>
      <c r="P23" s="55" t="s">
        <v>113</v>
      </c>
      <c r="Q23" s="55" t="s">
        <v>113</v>
      </c>
      <c r="R23" s="55" t="s">
        <v>113</v>
      </c>
      <c r="S23" s="55">
        <v>0</v>
      </c>
      <c r="T23" s="55" t="s">
        <v>113</v>
      </c>
      <c r="U23" s="55">
        <v>0</v>
      </c>
      <c r="V23" s="55" t="s">
        <v>113</v>
      </c>
      <c r="W23" s="55" t="s">
        <v>113</v>
      </c>
      <c r="X23" s="55" t="s">
        <v>113</v>
      </c>
      <c r="Y23" s="55">
        <v>0</v>
      </c>
      <c r="Z23" s="55" t="s">
        <v>113</v>
      </c>
      <c r="AA23" s="55" t="s">
        <v>113</v>
      </c>
      <c r="AB23" s="55" t="s">
        <v>113</v>
      </c>
      <c r="AC23" s="55" t="s">
        <v>113</v>
      </c>
      <c r="AD23" s="55" t="s">
        <v>113</v>
      </c>
      <c r="AE23" s="55" t="s">
        <v>113</v>
      </c>
      <c r="AF23" s="55" t="s">
        <v>113</v>
      </c>
      <c r="AG23" s="55" t="s">
        <v>113</v>
      </c>
      <c r="AH23" s="55" t="s">
        <v>113</v>
      </c>
      <c r="AI23" s="55">
        <v>0</v>
      </c>
      <c r="AJ23" s="55" t="s">
        <v>113</v>
      </c>
      <c r="AK23" s="55" t="s">
        <v>113</v>
      </c>
      <c r="AL23" s="55" t="s">
        <v>113</v>
      </c>
      <c r="AM23" s="55">
        <v>0</v>
      </c>
      <c r="AN23" s="55" t="s">
        <v>113</v>
      </c>
      <c r="AO23" s="55">
        <v>0</v>
      </c>
      <c r="AP23" s="55" t="s">
        <v>113</v>
      </c>
      <c r="AQ23" s="55" t="s">
        <v>113</v>
      </c>
      <c r="AR23" s="55" t="s">
        <v>113</v>
      </c>
      <c r="AS23" s="55" t="s">
        <v>113</v>
      </c>
      <c r="AT23" s="55" t="s">
        <v>113</v>
      </c>
      <c r="AU23" s="55" t="s">
        <v>113</v>
      </c>
      <c r="AV23" s="55" t="s">
        <v>113</v>
      </c>
      <c r="AW23" s="55" t="s">
        <v>113</v>
      </c>
      <c r="AX23" s="55" t="s">
        <v>113</v>
      </c>
      <c r="AY23" s="55" t="s">
        <v>113</v>
      </c>
      <c r="AZ23" s="55" t="s">
        <v>113</v>
      </c>
      <c r="BA23" s="55">
        <v>0</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t="s">
        <v>113</v>
      </c>
      <c r="L24" s="55" t="s">
        <v>113</v>
      </c>
      <c r="M24" s="55" t="s">
        <v>113</v>
      </c>
      <c r="N24" s="55" t="s">
        <v>113</v>
      </c>
      <c r="O24" s="55" t="s">
        <v>113</v>
      </c>
      <c r="P24" s="55" t="s">
        <v>113</v>
      </c>
      <c r="Q24" s="55" t="s">
        <v>113</v>
      </c>
      <c r="R24" s="55" t="s">
        <v>113</v>
      </c>
      <c r="S24" s="55">
        <v>22</v>
      </c>
      <c r="T24" s="55" t="s">
        <v>113</v>
      </c>
      <c r="U24" s="55">
        <v>40</v>
      </c>
      <c r="V24" s="55" t="s">
        <v>113</v>
      </c>
      <c r="W24" s="55" t="s">
        <v>113</v>
      </c>
      <c r="X24" s="55" t="s">
        <v>113</v>
      </c>
      <c r="Y24" s="55">
        <v>0</v>
      </c>
      <c r="Z24" s="55" t="s">
        <v>113</v>
      </c>
      <c r="AA24" s="55" t="s">
        <v>113</v>
      </c>
      <c r="AB24" s="55" t="s">
        <v>113</v>
      </c>
      <c r="AC24" s="55" t="s">
        <v>113</v>
      </c>
      <c r="AD24" s="55" t="s">
        <v>113</v>
      </c>
      <c r="AE24" s="55" t="s">
        <v>113</v>
      </c>
      <c r="AF24" s="55" t="s">
        <v>113</v>
      </c>
      <c r="AG24" s="55" t="s">
        <v>113</v>
      </c>
      <c r="AH24" s="55" t="s">
        <v>113</v>
      </c>
      <c r="AI24" s="55">
        <v>8</v>
      </c>
      <c r="AJ24" s="55" t="s">
        <v>113</v>
      </c>
      <c r="AK24" s="55" t="s">
        <v>113</v>
      </c>
      <c r="AL24" s="55" t="s">
        <v>113</v>
      </c>
      <c r="AM24" s="55">
        <v>15</v>
      </c>
      <c r="AN24" s="55" t="s">
        <v>113</v>
      </c>
      <c r="AO24" s="55">
        <v>0</v>
      </c>
      <c r="AP24" s="55" t="s">
        <v>113</v>
      </c>
      <c r="AQ24" s="55" t="s">
        <v>113</v>
      </c>
      <c r="AR24" s="55" t="s">
        <v>113</v>
      </c>
      <c r="AS24" s="55" t="s">
        <v>113</v>
      </c>
      <c r="AT24" s="55" t="s">
        <v>113</v>
      </c>
      <c r="AU24" s="55" t="s">
        <v>113</v>
      </c>
      <c r="AV24" s="55" t="s">
        <v>113</v>
      </c>
      <c r="AW24" s="55" t="s">
        <v>113</v>
      </c>
      <c r="AX24" s="55" t="s">
        <v>113</v>
      </c>
      <c r="AY24" s="55" t="s">
        <v>113</v>
      </c>
      <c r="AZ24" s="55" t="s">
        <v>113</v>
      </c>
      <c r="BA24" s="55">
        <v>46</v>
      </c>
      <c r="BB24" s="55" t="s">
        <v>113</v>
      </c>
      <c r="BC24" s="55">
        <v>12</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t="s">
        <v>113</v>
      </c>
      <c r="L25" s="55" t="s">
        <v>113</v>
      </c>
      <c r="M25" s="55" t="s">
        <v>113</v>
      </c>
      <c r="N25" s="55" t="s">
        <v>113</v>
      </c>
      <c r="O25" s="55" t="s">
        <v>113</v>
      </c>
      <c r="P25" s="55" t="s">
        <v>113</v>
      </c>
      <c r="Q25" s="55" t="s">
        <v>113</v>
      </c>
      <c r="R25" s="55" t="s">
        <v>113</v>
      </c>
      <c r="S25" s="55">
        <v>24</v>
      </c>
      <c r="T25" s="55" t="s">
        <v>113</v>
      </c>
      <c r="U25" s="55">
        <v>39</v>
      </c>
      <c r="V25" s="55" t="s">
        <v>113</v>
      </c>
      <c r="W25" s="55" t="s">
        <v>113</v>
      </c>
      <c r="X25" s="55" t="s">
        <v>113</v>
      </c>
      <c r="Y25" s="55">
        <v>0</v>
      </c>
      <c r="Z25" s="55" t="s">
        <v>113</v>
      </c>
      <c r="AA25" s="55" t="s">
        <v>113</v>
      </c>
      <c r="AB25" s="55" t="s">
        <v>113</v>
      </c>
      <c r="AC25" s="55" t="s">
        <v>113</v>
      </c>
      <c r="AD25" s="55" t="s">
        <v>113</v>
      </c>
      <c r="AE25" s="55" t="s">
        <v>113</v>
      </c>
      <c r="AF25" s="55" t="s">
        <v>113</v>
      </c>
      <c r="AG25" s="55" t="s">
        <v>113</v>
      </c>
      <c r="AH25" s="55" t="s">
        <v>113</v>
      </c>
      <c r="AI25" s="55">
        <v>9</v>
      </c>
      <c r="AJ25" s="55" t="s">
        <v>113</v>
      </c>
      <c r="AK25" s="55" t="s">
        <v>113</v>
      </c>
      <c r="AL25" s="55" t="s">
        <v>113</v>
      </c>
      <c r="AM25" s="55">
        <v>20</v>
      </c>
      <c r="AN25" s="55" t="s">
        <v>113</v>
      </c>
      <c r="AO25" s="55">
        <v>0</v>
      </c>
      <c r="AP25" s="55" t="s">
        <v>113</v>
      </c>
      <c r="AQ25" s="55" t="s">
        <v>113</v>
      </c>
      <c r="AR25" s="55" t="s">
        <v>113</v>
      </c>
      <c r="AS25" s="55" t="s">
        <v>113</v>
      </c>
      <c r="AT25" s="55" t="s">
        <v>113</v>
      </c>
      <c r="AU25" s="55" t="s">
        <v>113</v>
      </c>
      <c r="AV25" s="55" t="s">
        <v>113</v>
      </c>
      <c r="AW25" s="55" t="s">
        <v>113</v>
      </c>
      <c r="AX25" s="55" t="s">
        <v>113</v>
      </c>
      <c r="AY25" s="55" t="s">
        <v>113</v>
      </c>
      <c r="AZ25" s="55" t="s">
        <v>113</v>
      </c>
      <c r="BA25" s="55">
        <v>39</v>
      </c>
      <c r="BB25" s="55" t="s">
        <v>113</v>
      </c>
      <c r="BC25" s="55">
        <v>13</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t="s">
        <v>113</v>
      </c>
      <c r="L26" s="55" t="s">
        <v>113</v>
      </c>
      <c r="M26" s="55" t="s">
        <v>113</v>
      </c>
      <c r="N26" s="55" t="s">
        <v>113</v>
      </c>
      <c r="O26" s="55" t="s">
        <v>113</v>
      </c>
      <c r="P26" s="55" t="s">
        <v>113</v>
      </c>
      <c r="Q26" s="55" t="s">
        <v>113</v>
      </c>
      <c r="R26" s="55" t="s">
        <v>113</v>
      </c>
      <c r="S26" s="55">
        <v>24</v>
      </c>
      <c r="T26" s="55" t="s">
        <v>113</v>
      </c>
      <c r="U26" s="55">
        <v>47</v>
      </c>
      <c r="V26" s="55" t="s">
        <v>113</v>
      </c>
      <c r="W26" s="55" t="s">
        <v>113</v>
      </c>
      <c r="X26" s="55" t="s">
        <v>113</v>
      </c>
      <c r="Y26" s="55">
        <v>0</v>
      </c>
      <c r="Z26" s="55" t="s">
        <v>113</v>
      </c>
      <c r="AA26" s="55" t="s">
        <v>113</v>
      </c>
      <c r="AB26" s="55" t="s">
        <v>113</v>
      </c>
      <c r="AC26" s="55" t="s">
        <v>113</v>
      </c>
      <c r="AD26" s="55" t="s">
        <v>113</v>
      </c>
      <c r="AE26" s="55" t="s">
        <v>113</v>
      </c>
      <c r="AF26" s="55" t="s">
        <v>113</v>
      </c>
      <c r="AG26" s="55" t="s">
        <v>113</v>
      </c>
      <c r="AH26" s="55" t="s">
        <v>113</v>
      </c>
      <c r="AI26" s="55">
        <v>8</v>
      </c>
      <c r="AJ26" s="55" t="s">
        <v>113</v>
      </c>
      <c r="AK26" s="55" t="s">
        <v>113</v>
      </c>
      <c r="AL26" s="55" t="s">
        <v>113</v>
      </c>
      <c r="AM26" s="55">
        <v>14</v>
      </c>
      <c r="AN26" s="55" t="s">
        <v>113</v>
      </c>
      <c r="AO26" s="55">
        <v>0</v>
      </c>
      <c r="AP26" s="55" t="s">
        <v>113</v>
      </c>
      <c r="AQ26" s="55" t="s">
        <v>113</v>
      </c>
      <c r="AR26" s="55" t="s">
        <v>113</v>
      </c>
      <c r="AS26" s="55" t="s">
        <v>113</v>
      </c>
      <c r="AT26" s="55" t="s">
        <v>113</v>
      </c>
      <c r="AU26" s="55" t="s">
        <v>113</v>
      </c>
      <c r="AV26" s="55" t="s">
        <v>113</v>
      </c>
      <c r="AW26" s="55" t="s">
        <v>113</v>
      </c>
      <c r="AX26" s="55" t="s">
        <v>113</v>
      </c>
      <c r="AY26" s="55" t="s">
        <v>113</v>
      </c>
      <c r="AZ26" s="55" t="s">
        <v>113</v>
      </c>
      <c r="BA26" s="55">
        <v>46</v>
      </c>
      <c r="BB26" s="55" t="s">
        <v>113</v>
      </c>
      <c r="BC26" s="55">
        <v>9</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t="s">
        <v>113</v>
      </c>
      <c r="L27" s="55" t="s">
        <v>113</v>
      </c>
      <c r="M27" s="55" t="s">
        <v>113</v>
      </c>
      <c r="N27" s="55" t="s">
        <v>113</v>
      </c>
      <c r="O27" s="55" t="s">
        <v>113</v>
      </c>
      <c r="P27" s="55" t="s">
        <v>113</v>
      </c>
      <c r="Q27" s="55" t="s">
        <v>113</v>
      </c>
      <c r="R27" s="55" t="s">
        <v>113</v>
      </c>
      <c r="S27" s="55">
        <v>21</v>
      </c>
      <c r="T27" s="55" t="s">
        <v>113</v>
      </c>
      <c r="U27" s="55">
        <v>44</v>
      </c>
      <c r="V27" s="55" t="s">
        <v>113</v>
      </c>
      <c r="W27" s="55" t="s">
        <v>113</v>
      </c>
      <c r="X27" s="55" t="s">
        <v>113</v>
      </c>
      <c r="Y27" s="55">
        <v>0</v>
      </c>
      <c r="Z27" s="55" t="s">
        <v>113</v>
      </c>
      <c r="AA27" s="55" t="s">
        <v>113</v>
      </c>
      <c r="AB27" s="55" t="s">
        <v>113</v>
      </c>
      <c r="AC27" s="55" t="s">
        <v>113</v>
      </c>
      <c r="AD27" s="55" t="s">
        <v>113</v>
      </c>
      <c r="AE27" s="55" t="s">
        <v>113</v>
      </c>
      <c r="AF27" s="55" t="s">
        <v>113</v>
      </c>
      <c r="AG27" s="55" t="s">
        <v>113</v>
      </c>
      <c r="AH27" s="55" t="s">
        <v>113</v>
      </c>
      <c r="AI27" s="55">
        <v>11</v>
      </c>
      <c r="AJ27" s="55" t="s">
        <v>113</v>
      </c>
      <c r="AK27" s="55" t="s">
        <v>113</v>
      </c>
      <c r="AL27" s="55" t="s">
        <v>113</v>
      </c>
      <c r="AM27" s="55">
        <v>25</v>
      </c>
      <c r="AN27" s="55" t="s">
        <v>113</v>
      </c>
      <c r="AO27" s="55">
        <v>1</v>
      </c>
      <c r="AP27" s="55" t="s">
        <v>113</v>
      </c>
      <c r="AQ27" s="55" t="s">
        <v>113</v>
      </c>
      <c r="AR27" s="55" t="s">
        <v>113</v>
      </c>
      <c r="AS27" s="55" t="s">
        <v>113</v>
      </c>
      <c r="AT27" s="55" t="s">
        <v>113</v>
      </c>
      <c r="AU27" s="55" t="s">
        <v>113</v>
      </c>
      <c r="AV27" s="55" t="s">
        <v>113</v>
      </c>
      <c r="AW27" s="55" t="s">
        <v>113</v>
      </c>
      <c r="AX27" s="55" t="s">
        <v>113</v>
      </c>
      <c r="AY27" s="55" t="s">
        <v>113</v>
      </c>
      <c r="AZ27" s="55" t="s">
        <v>113</v>
      </c>
      <c r="BA27" s="55">
        <v>41</v>
      </c>
      <c r="BB27" s="55" t="s">
        <v>113</v>
      </c>
      <c r="BC27" s="55">
        <v>7</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t="s">
        <v>113</v>
      </c>
      <c r="L28" s="55" t="s">
        <v>113</v>
      </c>
      <c r="M28" s="55" t="s">
        <v>113</v>
      </c>
      <c r="N28" s="55" t="s">
        <v>113</v>
      </c>
      <c r="O28" s="55" t="s">
        <v>113</v>
      </c>
      <c r="P28" s="55" t="s">
        <v>113</v>
      </c>
      <c r="Q28" s="55" t="s">
        <v>113</v>
      </c>
      <c r="R28" s="55" t="s">
        <v>113</v>
      </c>
      <c r="S28" s="55">
        <v>0</v>
      </c>
      <c r="T28" s="55" t="s">
        <v>113</v>
      </c>
      <c r="U28" s="55">
        <v>0</v>
      </c>
      <c r="V28" s="55" t="s">
        <v>113</v>
      </c>
      <c r="W28" s="55" t="s">
        <v>113</v>
      </c>
      <c r="X28" s="55" t="s">
        <v>113</v>
      </c>
      <c r="Y28" s="55">
        <v>0</v>
      </c>
      <c r="Z28" s="55" t="s">
        <v>113</v>
      </c>
      <c r="AA28" s="55" t="s">
        <v>113</v>
      </c>
      <c r="AB28" s="55" t="s">
        <v>113</v>
      </c>
      <c r="AC28" s="55" t="s">
        <v>113</v>
      </c>
      <c r="AD28" s="55" t="s">
        <v>113</v>
      </c>
      <c r="AE28" s="55" t="s">
        <v>113</v>
      </c>
      <c r="AF28" s="55" t="s">
        <v>113</v>
      </c>
      <c r="AG28" s="55" t="s">
        <v>113</v>
      </c>
      <c r="AH28" s="55" t="s">
        <v>113</v>
      </c>
      <c r="AI28" s="55">
        <v>0</v>
      </c>
      <c r="AJ28" s="55" t="s">
        <v>113</v>
      </c>
      <c r="AK28" s="55" t="s">
        <v>113</v>
      </c>
      <c r="AL28" s="55" t="s">
        <v>113</v>
      </c>
      <c r="AM28" s="55">
        <v>0</v>
      </c>
      <c r="AN28" s="55" t="s">
        <v>113</v>
      </c>
      <c r="AO28" s="55">
        <v>0</v>
      </c>
      <c r="AP28" s="55" t="s">
        <v>113</v>
      </c>
      <c r="AQ28" s="55" t="s">
        <v>113</v>
      </c>
      <c r="AR28" s="55" t="s">
        <v>113</v>
      </c>
      <c r="AS28" s="55" t="s">
        <v>113</v>
      </c>
      <c r="AT28" s="55" t="s">
        <v>113</v>
      </c>
      <c r="AU28" s="55" t="s">
        <v>113</v>
      </c>
      <c r="AV28" s="55" t="s">
        <v>113</v>
      </c>
      <c r="AW28" s="55" t="s">
        <v>113</v>
      </c>
      <c r="AX28" s="55" t="s">
        <v>113</v>
      </c>
      <c r="AY28" s="55" t="s">
        <v>113</v>
      </c>
      <c r="AZ28" s="55" t="s">
        <v>113</v>
      </c>
      <c r="BA28" s="55">
        <v>0</v>
      </c>
      <c r="BB28" s="55" t="s">
        <v>113</v>
      </c>
      <c r="BC28" s="55">
        <v>1</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t="s">
        <v>113</v>
      </c>
      <c r="L29" s="55" t="s">
        <v>113</v>
      </c>
      <c r="M29" s="55" t="s">
        <v>113</v>
      </c>
      <c r="N29" s="55" t="s">
        <v>113</v>
      </c>
      <c r="O29" s="55" t="s">
        <v>113</v>
      </c>
      <c r="P29" s="55" t="s">
        <v>113</v>
      </c>
      <c r="Q29" s="55" t="s">
        <v>113</v>
      </c>
      <c r="R29" s="55" t="s">
        <v>113</v>
      </c>
      <c r="S29" s="55">
        <v>34</v>
      </c>
      <c r="T29" s="55" t="s">
        <v>113</v>
      </c>
      <c r="U29" s="55">
        <v>87</v>
      </c>
      <c r="V29" s="55" t="s">
        <v>113</v>
      </c>
      <c r="W29" s="55" t="s">
        <v>113</v>
      </c>
      <c r="X29" s="55" t="s">
        <v>113</v>
      </c>
      <c r="Y29" s="55">
        <v>0</v>
      </c>
      <c r="Z29" s="55" t="s">
        <v>113</v>
      </c>
      <c r="AA29" s="55" t="s">
        <v>113</v>
      </c>
      <c r="AB29" s="55" t="s">
        <v>113</v>
      </c>
      <c r="AC29" s="55" t="s">
        <v>113</v>
      </c>
      <c r="AD29" s="55" t="s">
        <v>113</v>
      </c>
      <c r="AE29" s="55" t="s">
        <v>113</v>
      </c>
      <c r="AF29" s="55" t="s">
        <v>113</v>
      </c>
      <c r="AG29" s="55" t="s">
        <v>113</v>
      </c>
      <c r="AH29" s="55" t="s">
        <v>113</v>
      </c>
      <c r="AI29" s="55">
        <v>7</v>
      </c>
      <c r="AJ29" s="55" t="s">
        <v>113</v>
      </c>
      <c r="AK29" s="55" t="s">
        <v>113</v>
      </c>
      <c r="AL29" s="55" t="s">
        <v>113</v>
      </c>
      <c r="AM29" s="55">
        <v>26</v>
      </c>
      <c r="AN29" s="55" t="s">
        <v>113</v>
      </c>
      <c r="AO29" s="55">
        <v>0</v>
      </c>
      <c r="AP29" s="55" t="s">
        <v>113</v>
      </c>
      <c r="AQ29" s="55" t="s">
        <v>113</v>
      </c>
      <c r="AR29" s="55" t="s">
        <v>113</v>
      </c>
      <c r="AS29" s="55" t="s">
        <v>113</v>
      </c>
      <c r="AT29" s="55" t="s">
        <v>113</v>
      </c>
      <c r="AU29" s="55" t="s">
        <v>113</v>
      </c>
      <c r="AV29" s="55" t="s">
        <v>113</v>
      </c>
      <c r="AW29" s="55" t="s">
        <v>113</v>
      </c>
      <c r="AX29" s="55" t="s">
        <v>113</v>
      </c>
      <c r="AY29" s="55" t="s">
        <v>113</v>
      </c>
      <c r="AZ29" s="55" t="s">
        <v>113</v>
      </c>
      <c r="BA29" s="55">
        <v>75</v>
      </c>
      <c r="BB29" s="55" t="s">
        <v>113</v>
      </c>
      <c r="BC29" s="55">
        <v>23</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t="s">
        <v>113</v>
      </c>
      <c r="L30" s="55" t="s">
        <v>113</v>
      </c>
      <c r="M30" s="55" t="s">
        <v>113</v>
      </c>
      <c r="N30" s="55" t="s">
        <v>113</v>
      </c>
      <c r="O30" s="55" t="s">
        <v>113</v>
      </c>
      <c r="P30" s="55" t="s">
        <v>113</v>
      </c>
      <c r="Q30" s="55" t="s">
        <v>113</v>
      </c>
      <c r="R30" s="55" t="s">
        <v>113</v>
      </c>
      <c r="S30" s="55">
        <v>38</v>
      </c>
      <c r="T30" s="55" t="s">
        <v>113</v>
      </c>
      <c r="U30" s="55">
        <v>98</v>
      </c>
      <c r="V30" s="55" t="s">
        <v>113</v>
      </c>
      <c r="W30" s="55" t="s">
        <v>113</v>
      </c>
      <c r="X30" s="55" t="s">
        <v>113</v>
      </c>
      <c r="Y30" s="55">
        <v>0</v>
      </c>
      <c r="Z30" s="55" t="s">
        <v>113</v>
      </c>
      <c r="AA30" s="55" t="s">
        <v>113</v>
      </c>
      <c r="AB30" s="55" t="s">
        <v>113</v>
      </c>
      <c r="AC30" s="55" t="s">
        <v>113</v>
      </c>
      <c r="AD30" s="55" t="s">
        <v>113</v>
      </c>
      <c r="AE30" s="55" t="s">
        <v>113</v>
      </c>
      <c r="AF30" s="55" t="s">
        <v>113</v>
      </c>
      <c r="AG30" s="55" t="s">
        <v>113</v>
      </c>
      <c r="AH30" s="55" t="s">
        <v>113</v>
      </c>
      <c r="AI30" s="55">
        <v>23</v>
      </c>
      <c r="AJ30" s="55" t="s">
        <v>113</v>
      </c>
      <c r="AK30" s="55" t="s">
        <v>113</v>
      </c>
      <c r="AL30" s="55" t="s">
        <v>113</v>
      </c>
      <c r="AM30" s="55">
        <v>27</v>
      </c>
      <c r="AN30" s="55" t="s">
        <v>113</v>
      </c>
      <c r="AO30" s="55">
        <v>0</v>
      </c>
      <c r="AP30" s="55" t="s">
        <v>113</v>
      </c>
      <c r="AQ30" s="55" t="s">
        <v>113</v>
      </c>
      <c r="AR30" s="55" t="s">
        <v>113</v>
      </c>
      <c r="AS30" s="55" t="s">
        <v>113</v>
      </c>
      <c r="AT30" s="55" t="s">
        <v>113</v>
      </c>
      <c r="AU30" s="55" t="s">
        <v>113</v>
      </c>
      <c r="AV30" s="55" t="s">
        <v>113</v>
      </c>
      <c r="AW30" s="55" t="s">
        <v>113</v>
      </c>
      <c r="AX30" s="55" t="s">
        <v>113</v>
      </c>
      <c r="AY30" s="55" t="s">
        <v>113</v>
      </c>
      <c r="AZ30" s="55" t="s">
        <v>113</v>
      </c>
      <c r="BA30" s="55">
        <v>102</v>
      </c>
      <c r="BB30" s="55" t="s">
        <v>113</v>
      </c>
      <c r="BC30" s="55">
        <v>18</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t="s">
        <v>113</v>
      </c>
      <c r="L31" s="55" t="s">
        <v>113</v>
      </c>
      <c r="M31" s="55" t="s">
        <v>113</v>
      </c>
      <c r="N31" s="55" t="s">
        <v>113</v>
      </c>
      <c r="O31" s="55" t="s">
        <v>113</v>
      </c>
      <c r="P31" s="55" t="s">
        <v>113</v>
      </c>
      <c r="Q31" s="55" t="s">
        <v>113</v>
      </c>
      <c r="R31" s="55" t="s">
        <v>113</v>
      </c>
      <c r="S31" s="55">
        <v>41</v>
      </c>
      <c r="T31" s="55" t="s">
        <v>113</v>
      </c>
      <c r="U31" s="55">
        <v>93</v>
      </c>
      <c r="V31" s="55" t="s">
        <v>113</v>
      </c>
      <c r="W31" s="55" t="s">
        <v>113</v>
      </c>
      <c r="X31" s="55" t="s">
        <v>113</v>
      </c>
      <c r="Y31" s="55">
        <v>0</v>
      </c>
      <c r="Z31" s="55" t="s">
        <v>113</v>
      </c>
      <c r="AA31" s="55" t="s">
        <v>113</v>
      </c>
      <c r="AB31" s="55" t="s">
        <v>113</v>
      </c>
      <c r="AC31" s="55" t="s">
        <v>113</v>
      </c>
      <c r="AD31" s="55" t="s">
        <v>113</v>
      </c>
      <c r="AE31" s="55" t="s">
        <v>113</v>
      </c>
      <c r="AF31" s="55" t="s">
        <v>113</v>
      </c>
      <c r="AG31" s="55" t="s">
        <v>113</v>
      </c>
      <c r="AH31" s="55" t="s">
        <v>113</v>
      </c>
      <c r="AI31" s="55">
        <v>12</v>
      </c>
      <c r="AJ31" s="55" t="s">
        <v>113</v>
      </c>
      <c r="AK31" s="55" t="s">
        <v>113</v>
      </c>
      <c r="AL31" s="55" t="s">
        <v>113</v>
      </c>
      <c r="AM31" s="55">
        <v>39</v>
      </c>
      <c r="AN31" s="55" t="s">
        <v>113</v>
      </c>
      <c r="AO31" s="55">
        <v>0</v>
      </c>
      <c r="AP31" s="55" t="s">
        <v>113</v>
      </c>
      <c r="AQ31" s="55" t="s">
        <v>113</v>
      </c>
      <c r="AR31" s="55" t="s">
        <v>113</v>
      </c>
      <c r="AS31" s="55" t="s">
        <v>113</v>
      </c>
      <c r="AT31" s="55" t="s">
        <v>113</v>
      </c>
      <c r="AU31" s="55" t="s">
        <v>113</v>
      </c>
      <c r="AV31" s="55" t="s">
        <v>113</v>
      </c>
      <c r="AW31" s="55" t="s">
        <v>113</v>
      </c>
      <c r="AX31" s="55" t="s">
        <v>113</v>
      </c>
      <c r="AY31" s="55" t="s">
        <v>113</v>
      </c>
      <c r="AZ31" s="55" t="s">
        <v>113</v>
      </c>
      <c r="BA31" s="55">
        <v>101</v>
      </c>
      <c r="BB31" s="55" t="s">
        <v>113</v>
      </c>
      <c r="BC31" s="55">
        <v>16</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t="s">
        <v>113</v>
      </c>
      <c r="L32" s="55" t="s">
        <v>113</v>
      </c>
      <c r="M32" s="55" t="s">
        <v>113</v>
      </c>
      <c r="N32" s="55" t="s">
        <v>113</v>
      </c>
      <c r="O32" s="55" t="s">
        <v>113</v>
      </c>
      <c r="P32" s="55" t="s">
        <v>113</v>
      </c>
      <c r="Q32" s="55" t="s">
        <v>113</v>
      </c>
      <c r="R32" s="55" t="s">
        <v>113</v>
      </c>
      <c r="S32" s="55">
        <v>62</v>
      </c>
      <c r="T32" s="55" t="s">
        <v>113</v>
      </c>
      <c r="U32" s="55">
        <v>112</v>
      </c>
      <c r="V32" s="55" t="s">
        <v>113</v>
      </c>
      <c r="W32" s="55" t="s">
        <v>113</v>
      </c>
      <c r="X32" s="55" t="s">
        <v>113</v>
      </c>
      <c r="Y32" s="55">
        <v>0</v>
      </c>
      <c r="Z32" s="55" t="s">
        <v>113</v>
      </c>
      <c r="AA32" s="55" t="s">
        <v>113</v>
      </c>
      <c r="AB32" s="55" t="s">
        <v>113</v>
      </c>
      <c r="AC32" s="55" t="s">
        <v>113</v>
      </c>
      <c r="AD32" s="55" t="s">
        <v>113</v>
      </c>
      <c r="AE32" s="55" t="s">
        <v>113</v>
      </c>
      <c r="AF32" s="55" t="s">
        <v>113</v>
      </c>
      <c r="AG32" s="55" t="s">
        <v>113</v>
      </c>
      <c r="AH32" s="55" t="s">
        <v>113</v>
      </c>
      <c r="AI32" s="55">
        <v>16</v>
      </c>
      <c r="AJ32" s="55" t="s">
        <v>113</v>
      </c>
      <c r="AK32" s="55" t="s">
        <v>113</v>
      </c>
      <c r="AL32" s="55" t="s">
        <v>113</v>
      </c>
      <c r="AM32" s="55">
        <v>20</v>
      </c>
      <c r="AN32" s="55" t="s">
        <v>113</v>
      </c>
      <c r="AO32" s="55">
        <v>0</v>
      </c>
      <c r="AP32" s="55" t="s">
        <v>113</v>
      </c>
      <c r="AQ32" s="55" t="s">
        <v>113</v>
      </c>
      <c r="AR32" s="55" t="s">
        <v>113</v>
      </c>
      <c r="AS32" s="55" t="s">
        <v>113</v>
      </c>
      <c r="AT32" s="55" t="s">
        <v>113</v>
      </c>
      <c r="AU32" s="55" t="s">
        <v>113</v>
      </c>
      <c r="AV32" s="55" t="s">
        <v>113</v>
      </c>
      <c r="AW32" s="55" t="s">
        <v>113</v>
      </c>
      <c r="AX32" s="55" t="s">
        <v>113</v>
      </c>
      <c r="AY32" s="55" t="s">
        <v>113</v>
      </c>
      <c r="AZ32" s="55" t="s">
        <v>113</v>
      </c>
      <c r="BA32" s="55">
        <v>112</v>
      </c>
      <c r="BB32" s="55" t="s">
        <v>113</v>
      </c>
      <c r="BC32" s="55">
        <v>31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t="s">
        <v>113</v>
      </c>
      <c r="L33" s="55" t="s">
        <v>113</v>
      </c>
      <c r="M33" s="55" t="s">
        <v>113</v>
      </c>
      <c r="N33" s="55" t="s">
        <v>113</v>
      </c>
      <c r="O33" s="55" t="s">
        <v>113</v>
      </c>
      <c r="P33" s="55" t="s">
        <v>113</v>
      </c>
      <c r="Q33" s="55" t="s">
        <v>113</v>
      </c>
      <c r="R33" s="55" t="s">
        <v>113</v>
      </c>
      <c r="S33" s="55">
        <v>53</v>
      </c>
      <c r="T33" s="55" t="s">
        <v>113</v>
      </c>
      <c r="U33" s="55">
        <v>108</v>
      </c>
      <c r="V33" s="55" t="s">
        <v>113</v>
      </c>
      <c r="W33" s="55" t="s">
        <v>113</v>
      </c>
      <c r="X33" s="55" t="s">
        <v>113</v>
      </c>
      <c r="Y33" s="55">
        <v>0</v>
      </c>
      <c r="Z33" s="55" t="s">
        <v>113</v>
      </c>
      <c r="AA33" s="55" t="s">
        <v>113</v>
      </c>
      <c r="AB33" s="55" t="s">
        <v>113</v>
      </c>
      <c r="AC33" s="55" t="s">
        <v>113</v>
      </c>
      <c r="AD33" s="55" t="s">
        <v>113</v>
      </c>
      <c r="AE33" s="55" t="s">
        <v>113</v>
      </c>
      <c r="AF33" s="55" t="s">
        <v>113</v>
      </c>
      <c r="AG33" s="55" t="s">
        <v>113</v>
      </c>
      <c r="AH33" s="55" t="s">
        <v>113</v>
      </c>
      <c r="AI33" s="55">
        <v>16</v>
      </c>
      <c r="AJ33" s="55" t="s">
        <v>113</v>
      </c>
      <c r="AK33" s="55" t="s">
        <v>113</v>
      </c>
      <c r="AL33" s="55" t="s">
        <v>113</v>
      </c>
      <c r="AM33" s="55">
        <v>36</v>
      </c>
      <c r="AN33" s="55" t="s">
        <v>113</v>
      </c>
      <c r="AO33" s="55">
        <v>0</v>
      </c>
      <c r="AP33" s="55" t="s">
        <v>113</v>
      </c>
      <c r="AQ33" s="55" t="s">
        <v>113</v>
      </c>
      <c r="AR33" s="55" t="s">
        <v>113</v>
      </c>
      <c r="AS33" s="55" t="s">
        <v>113</v>
      </c>
      <c r="AT33" s="55" t="s">
        <v>113</v>
      </c>
      <c r="AU33" s="55" t="s">
        <v>113</v>
      </c>
      <c r="AV33" s="55" t="s">
        <v>113</v>
      </c>
      <c r="AW33" s="55" t="s">
        <v>113</v>
      </c>
      <c r="AX33" s="55" t="s">
        <v>113</v>
      </c>
      <c r="AY33" s="55" t="s">
        <v>113</v>
      </c>
      <c r="AZ33" s="55" t="s">
        <v>113</v>
      </c>
      <c r="BA33" s="55">
        <v>100</v>
      </c>
      <c r="BB33" s="55" t="s">
        <v>113</v>
      </c>
      <c r="BC33" s="55">
        <v>26</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t="s">
        <v>113</v>
      </c>
      <c r="L34" s="55" t="s">
        <v>113</v>
      </c>
      <c r="M34" s="55" t="s">
        <v>113</v>
      </c>
      <c r="N34" s="55" t="s">
        <v>113</v>
      </c>
      <c r="O34" s="55" t="s">
        <v>113</v>
      </c>
      <c r="P34" s="55" t="s">
        <v>113</v>
      </c>
      <c r="Q34" s="55" t="s">
        <v>113</v>
      </c>
      <c r="R34" s="55" t="s">
        <v>113</v>
      </c>
      <c r="S34" s="55">
        <v>57</v>
      </c>
      <c r="T34" s="55" t="s">
        <v>113</v>
      </c>
      <c r="U34" s="55">
        <v>108</v>
      </c>
      <c r="V34" s="55" t="s">
        <v>113</v>
      </c>
      <c r="W34" s="55" t="s">
        <v>113</v>
      </c>
      <c r="X34" s="55" t="s">
        <v>113</v>
      </c>
      <c r="Y34" s="55">
        <v>0</v>
      </c>
      <c r="Z34" s="55" t="s">
        <v>113</v>
      </c>
      <c r="AA34" s="55" t="s">
        <v>113</v>
      </c>
      <c r="AB34" s="55" t="s">
        <v>113</v>
      </c>
      <c r="AC34" s="55" t="s">
        <v>113</v>
      </c>
      <c r="AD34" s="55" t="s">
        <v>113</v>
      </c>
      <c r="AE34" s="55" t="s">
        <v>113</v>
      </c>
      <c r="AF34" s="55" t="s">
        <v>113</v>
      </c>
      <c r="AG34" s="55" t="s">
        <v>113</v>
      </c>
      <c r="AH34" s="55" t="s">
        <v>113</v>
      </c>
      <c r="AI34" s="55">
        <v>12</v>
      </c>
      <c r="AJ34" s="55" t="s">
        <v>113</v>
      </c>
      <c r="AK34" s="55" t="s">
        <v>113</v>
      </c>
      <c r="AL34" s="55" t="s">
        <v>113</v>
      </c>
      <c r="AM34" s="55">
        <v>31</v>
      </c>
      <c r="AN34" s="55" t="s">
        <v>113</v>
      </c>
      <c r="AO34" s="55">
        <v>0</v>
      </c>
      <c r="AP34" s="55" t="s">
        <v>113</v>
      </c>
      <c r="AQ34" s="55" t="s">
        <v>113</v>
      </c>
      <c r="AR34" s="55" t="s">
        <v>113</v>
      </c>
      <c r="AS34" s="55" t="s">
        <v>113</v>
      </c>
      <c r="AT34" s="55" t="s">
        <v>113</v>
      </c>
      <c r="AU34" s="55" t="s">
        <v>113</v>
      </c>
      <c r="AV34" s="55" t="s">
        <v>113</v>
      </c>
      <c r="AW34" s="55" t="s">
        <v>113</v>
      </c>
      <c r="AX34" s="55" t="s">
        <v>113</v>
      </c>
      <c r="AY34" s="55" t="s">
        <v>113</v>
      </c>
      <c r="AZ34" s="55" t="s">
        <v>113</v>
      </c>
      <c r="BA34" s="55">
        <v>117</v>
      </c>
      <c r="BB34" s="55" t="s">
        <v>113</v>
      </c>
      <c r="BC34" s="55">
        <v>19</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t="s">
        <v>113</v>
      </c>
      <c r="L35" s="55" t="s">
        <v>113</v>
      </c>
      <c r="M35" s="55" t="s">
        <v>113</v>
      </c>
      <c r="N35" s="55" t="s">
        <v>113</v>
      </c>
      <c r="O35" s="55" t="s">
        <v>113</v>
      </c>
      <c r="P35" s="55" t="s">
        <v>113</v>
      </c>
      <c r="Q35" s="55" t="s">
        <v>113</v>
      </c>
      <c r="R35" s="55" t="s">
        <v>113</v>
      </c>
      <c r="S35" s="55">
        <v>47</v>
      </c>
      <c r="T35" s="55" t="s">
        <v>113</v>
      </c>
      <c r="U35" s="55">
        <v>102</v>
      </c>
      <c r="V35" s="55" t="s">
        <v>113</v>
      </c>
      <c r="W35" s="55" t="s">
        <v>113</v>
      </c>
      <c r="X35" s="55" t="s">
        <v>113</v>
      </c>
      <c r="Y35" s="55">
        <v>0</v>
      </c>
      <c r="Z35" s="55" t="s">
        <v>113</v>
      </c>
      <c r="AA35" s="55" t="s">
        <v>113</v>
      </c>
      <c r="AB35" s="55" t="s">
        <v>113</v>
      </c>
      <c r="AC35" s="55" t="s">
        <v>113</v>
      </c>
      <c r="AD35" s="55" t="s">
        <v>113</v>
      </c>
      <c r="AE35" s="55" t="s">
        <v>113</v>
      </c>
      <c r="AF35" s="55" t="s">
        <v>113</v>
      </c>
      <c r="AG35" s="55" t="s">
        <v>113</v>
      </c>
      <c r="AH35" s="55" t="s">
        <v>113</v>
      </c>
      <c r="AI35" s="55">
        <v>10</v>
      </c>
      <c r="AJ35" s="55" t="s">
        <v>113</v>
      </c>
      <c r="AK35" s="55" t="s">
        <v>113</v>
      </c>
      <c r="AL35" s="55" t="s">
        <v>113</v>
      </c>
      <c r="AM35" s="55">
        <v>23</v>
      </c>
      <c r="AN35" s="55" t="s">
        <v>113</v>
      </c>
      <c r="AO35" s="55">
        <v>0</v>
      </c>
      <c r="AP35" s="55" t="s">
        <v>113</v>
      </c>
      <c r="AQ35" s="55" t="s">
        <v>113</v>
      </c>
      <c r="AR35" s="55" t="s">
        <v>113</v>
      </c>
      <c r="AS35" s="55" t="s">
        <v>113</v>
      </c>
      <c r="AT35" s="55" t="s">
        <v>113</v>
      </c>
      <c r="AU35" s="55" t="s">
        <v>113</v>
      </c>
      <c r="AV35" s="55" t="s">
        <v>113</v>
      </c>
      <c r="AW35" s="55" t="s">
        <v>113</v>
      </c>
      <c r="AX35" s="55" t="s">
        <v>113</v>
      </c>
      <c r="AY35" s="55" t="s">
        <v>113</v>
      </c>
      <c r="AZ35" s="55" t="s">
        <v>113</v>
      </c>
      <c r="BA35" s="55">
        <v>117</v>
      </c>
      <c r="BB35" s="55" t="s">
        <v>113</v>
      </c>
      <c r="BC35" s="55">
        <v>35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t="s">
        <v>113</v>
      </c>
      <c r="L36" s="55" t="s">
        <v>113</v>
      </c>
      <c r="M36" s="55" t="s">
        <v>113</v>
      </c>
      <c r="N36" s="55" t="s">
        <v>113</v>
      </c>
      <c r="O36" s="55" t="s">
        <v>113</v>
      </c>
      <c r="P36" s="55" t="s">
        <v>113</v>
      </c>
      <c r="Q36" s="55" t="s">
        <v>113</v>
      </c>
      <c r="R36" s="55" t="s">
        <v>113</v>
      </c>
      <c r="S36" s="55">
        <v>57</v>
      </c>
      <c r="T36" s="55" t="s">
        <v>113</v>
      </c>
      <c r="U36" s="55">
        <v>87</v>
      </c>
      <c r="V36" s="55" t="s">
        <v>113</v>
      </c>
      <c r="W36" s="55" t="s">
        <v>113</v>
      </c>
      <c r="X36" s="55" t="s">
        <v>113</v>
      </c>
      <c r="Y36" s="55">
        <v>0</v>
      </c>
      <c r="Z36" s="55" t="s">
        <v>113</v>
      </c>
      <c r="AA36" s="55" t="s">
        <v>113</v>
      </c>
      <c r="AB36" s="55" t="s">
        <v>113</v>
      </c>
      <c r="AC36" s="55" t="s">
        <v>113</v>
      </c>
      <c r="AD36" s="55" t="s">
        <v>113</v>
      </c>
      <c r="AE36" s="55" t="s">
        <v>113</v>
      </c>
      <c r="AF36" s="55" t="s">
        <v>113</v>
      </c>
      <c r="AG36" s="55" t="s">
        <v>113</v>
      </c>
      <c r="AH36" s="55" t="s">
        <v>113</v>
      </c>
      <c r="AI36" s="55">
        <v>12</v>
      </c>
      <c r="AJ36" s="55" t="s">
        <v>113</v>
      </c>
      <c r="AK36" s="55" t="s">
        <v>113</v>
      </c>
      <c r="AL36" s="55" t="s">
        <v>113</v>
      </c>
      <c r="AM36" s="55">
        <v>21</v>
      </c>
      <c r="AN36" s="55" t="s">
        <v>113</v>
      </c>
      <c r="AO36" s="55">
        <v>0</v>
      </c>
      <c r="AP36" s="55" t="s">
        <v>113</v>
      </c>
      <c r="AQ36" s="55" t="s">
        <v>113</v>
      </c>
      <c r="AR36" s="55" t="s">
        <v>113</v>
      </c>
      <c r="AS36" s="55" t="s">
        <v>113</v>
      </c>
      <c r="AT36" s="55" t="s">
        <v>113</v>
      </c>
      <c r="AU36" s="55" t="s">
        <v>113</v>
      </c>
      <c r="AV36" s="55" t="s">
        <v>113</v>
      </c>
      <c r="AW36" s="55" t="s">
        <v>113</v>
      </c>
      <c r="AX36" s="55" t="s">
        <v>113</v>
      </c>
      <c r="AY36" s="55" t="s">
        <v>113</v>
      </c>
      <c r="AZ36" s="55" t="s">
        <v>113</v>
      </c>
      <c r="BA36" s="55">
        <v>74</v>
      </c>
      <c r="BB36" s="55" t="s">
        <v>113</v>
      </c>
      <c r="BC36" s="55">
        <v>15</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t="s">
        <v>113</v>
      </c>
      <c r="L37" s="55" t="s">
        <v>113</v>
      </c>
      <c r="M37" s="55" t="s">
        <v>113</v>
      </c>
      <c r="N37" s="55" t="s">
        <v>113</v>
      </c>
      <c r="O37" s="55" t="s">
        <v>113</v>
      </c>
      <c r="P37" s="55" t="s">
        <v>113</v>
      </c>
      <c r="Q37" s="55" t="s">
        <v>113</v>
      </c>
      <c r="R37" s="55" t="s">
        <v>113</v>
      </c>
      <c r="S37" s="55">
        <v>0</v>
      </c>
      <c r="T37" s="55" t="s">
        <v>113</v>
      </c>
      <c r="U37" s="55">
        <v>0</v>
      </c>
      <c r="V37" s="55" t="s">
        <v>113</v>
      </c>
      <c r="W37" s="55" t="s">
        <v>113</v>
      </c>
      <c r="X37" s="55" t="s">
        <v>113</v>
      </c>
      <c r="Y37" s="55">
        <v>0</v>
      </c>
      <c r="Z37" s="55" t="s">
        <v>113</v>
      </c>
      <c r="AA37" s="55" t="s">
        <v>113</v>
      </c>
      <c r="AB37" s="55" t="s">
        <v>113</v>
      </c>
      <c r="AC37" s="55" t="s">
        <v>113</v>
      </c>
      <c r="AD37" s="55" t="s">
        <v>113</v>
      </c>
      <c r="AE37" s="55" t="s">
        <v>113</v>
      </c>
      <c r="AF37" s="55" t="s">
        <v>113</v>
      </c>
      <c r="AG37" s="55" t="s">
        <v>113</v>
      </c>
      <c r="AH37" s="55" t="s">
        <v>113</v>
      </c>
      <c r="AI37" s="55">
        <v>0</v>
      </c>
      <c r="AJ37" s="55" t="s">
        <v>113</v>
      </c>
      <c r="AK37" s="55" t="s">
        <v>113</v>
      </c>
      <c r="AL37" s="55" t="s">
        <v>113</v>
      </c>
      <c r="AM37" s="55">
        <v>0</v>
      </c>
      <c r="AN37" s="55" t="s">
        <v>113</v>
      </c>
      <c r="AO37" s="55">
        <v>0</v>
      </c>
      <c r="AP37" s="55" t="s">
        <v>113</v>
      </c>
      <c r="AQ37" s="55" t="s">
        <v>113</v>
      </c>
      <c r="AR37" s="55" t="s">
        <v>113</v>
      </c>
      <c r="AS37" s="55" t="s">
        <v>113</v>
      </c>
      <c r="AT37" s="55" t="s">
        <v>113</v>
      </c>
      <c r="AU37" s="55" t="s">
        <v>113</v>
      </c>
      <c r="AV37" s="55" t="s">
        <v>113</v>
      </c>
      <c r="AW37" s="55" t="s">
        <v>113</v>
      </c>
      <c r="AX37" s="55" t="s">
        <v>113</v>
      </c>
      <c r="AY37" s="55" t="s">
        <v>113</v>
      </c>
      <c r="AZ37" s="55" t="s">
        <v>113</v>
      </c>
      <c r="BA37" s="55">
        <v>0</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2021-03-01T01:57:43Z</dcterms:modified>
</cp:coreProperties>
</file>